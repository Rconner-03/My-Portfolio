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TCourseProject3150\"/>
    </mc:Choice>
  </mc:AlternateContent>
  <xr:revisionPtr revIDLastSave="0" documentId="8_{FE82E6B2-1EE9-4A34-B25F-BA001D4E6785}" xr6:coauthVersionLast="47" xr6:coauthVersionMax="47" xr10:uidLastSave="{00000000-0000-0000-0000-000000000000}"/>
  <bookViews>
    <workbookView xWindow="-108" yWindow="-108" windowWidth="23256" windowHeight="12456" xr2:uid="{36CE30D4-2E28-46B7-ACCD-24184FC57042}"/>
  </bookViews>
  <sheets>
    <sheet name="Cost Estim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6" i="1" l="1"/>
  <c r="G26" i="1"/>
  <c r="L26" i="1"/>
  <c r="L23" i="1"/>
  <c r="L22" i="1"/>
  <c r="L21" i="1"/>
  <c r="L20" i="1"/>
  <c r="L19" i="1"/>
  <c r="L18" i="1"/>
  <c r="L17" i="1"/>
  <c r="L16" i="1"/>
  <c r="L15" i="1"/>
  <c r="L14" i="1"/>
  <c r="L13" i="1"/>
  <c r="L11" i="1"/>
  <c r="L12" i="1"/>
  <c r="L10" i="1"/>
  <c r="L9" i="1"/>
  <c r="J26" i="1"/>
  <c r="H23" i="1"/>
  <c r="H26" i="1" s="1"/>
</calcChain>
</file>

<file path=xl/sharedStrings.xml><?xml version="1.0" encoding="utf-8"?>
<sst xmlns="http://schemas.openxmlformats.org/spreadsheetml/2006/main" count="32" uniqueCount="28">
  <si>
    <t>Cost Estimate</t>
  </si>
  <si>
    <t>Note: Enter your WBS, hours, labor rates, etc. Add/delete rows and columns as needed and check all formulas (bolded below).</t>
  </si>
  <si>
    <t>Internal</t>
  </si>
  <si>
    <t>$/hour</t>
  </si>
  <si>
    <t>Total</t>
  </si>
  <si>
    <t>Total Cost</t>
  </si>
  <si>
    <t>WBS Categories</t>
  </si>
  <si>
    <t>Labor</t>
  </si>
  <si>
    <t>$ Total</t>
  </si>
  <si>
    <t>Reserves</t>
  </si>
  <si>
    <t>Project Name: pulse app: elderly health</t>
  </si>
  <si>
    <t>Date: 10/18/2024</t>
  </si>
  <si>
    <t>1. Pulse App Design</t>
  </si>
  <si>
    <t>1.1 Design the App</t>
  </si>
  <si>
    <t>1.2 Design the wirerames</t>
  </si>
  <si>
    <t>2. Prototyping</t>
  </si>
  <si>
    <t xml:space="preserve">2.1 Design the prototype </t>
  </si>
  <si>
    <t>2.2 Use profesional software to build prototype</t>
  </si>
  <si>
    <t>3. Testing</t>
  </si>
  <si>
    <t>3.1 Test the app</t>
  </si>
  <si>
    <t>3.2 Debug any errors</t>
  </si>
  <si>
    <t xml:space="preserve">  3. Rollout app test</t>
  </si>
  <si>
    <t>4.1 Do a soft launch</t>
  </si>
  <si>
    <t>4.2 improve based on fedback</t>
  </si>
  <si>
    <t>5. App is complete</t>
  </si>
  <si>
    <t>subtotal</t>
  </si>
  <si>
    <t>5.1 Lauch and present final Product</t>
  </si>
  <si>
    <t>Assumptions: $75,000,000,000 should be enough to have a Padding to fall back on should the $73,664,738,160 not be enough. My original Budget was 10,000$, However after multiplying times 60 and 100 the numbers did not add up after following the activity instructions.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</si>
</sst>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6" fontId="0" fillId="0" borderId="0" xfId="0" applyNumberFormat="1"/>
    <xf numFmtId="4" fontId="0" fillId="0" borderId="0" xfId="0" applyNumberFormat="1"/>
    <xf numFmtId="3" fontId="0" fillId="0" borderId="0" xfId="0" applyNumberFormat="1"/>
    <xf numFmtId="0" fontId="2" fillId="0" borderId="0" xfId="0" applyFont="1"/>
    <xf numFmtId="6" fontId="2" fillId="0" borderId="0" xfId="0" applyNumberFormat="1" applyFont="1"/>
    <xf numFmtId="3" fontId="2" fillId="0" borderId="0" xfId="0" applyNumberFormat="1" applyFont="1"/>
    <xf numFmtId="44" fontId="2" fillId="0" borderId="0" xfId="1" applyFont="1"/>
    <xf numFmtId="6" fontId="2" fillId="0" borderId="0" xfId="1" applyNumberFormat="1" applyFont="1"/>
    <xf numFmtId="6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74FE0-74F6-4B4C-BB5A-2906F478A08F}">
  <dimension ref="D3:N29"/>
  <sheetViews>
    <sheetView tabSelected="1" topLeftCell="A3" workbookViewId="0">
      <selection activeCell="D30" sqref="D30"/>
    </sheetView>
  </sheetViews>
  <sheetFormatPr defaultRowHeight="14.4" x14ac:dyDescent="0.3"/>
  <cols>
    <col min="5" max="5" width="37" customWidth="1"/>
    <col min="6" max="6" width="8.88671875" customWidth="1"/>
    <col min="12" max="12" width="18.77734375" bestFit="1" customWidth="1"/>
    <col min="14" max="14" width="15.33203125" bestFit="1" customWidth="1"/>
  </cols>
  <sheetData>
    <row r="3" spans="5:14" x14ac:dyDescent="0.3">
      <c r="E3" t="s">
        <v>0</v>
      </c>
    </row>
    <row r="4" spans="5:14" x14ac:dyDescent="0.3">
      <c r="E4" t="s">
        <v>10</v>
      </c>
      <c r="G4" t="s">
        <v>11</v>
      </c>
    </row>
    <row r="5" spans="5:14" x14ac:dyDescent="0.3">
      <c r="E5" t="s">
        <v>1</v>
      </c>
    </row>
    <row r="6" spans="5:14" x14ac:dyDescent="0.3">
      <c r="H6" s="4"/>
    </row>
    <row r="7" spans="5:14" x14ac:dyDescent="0.3">
      <c r="F7" t="s">
        <v>2</v>
      </c>
      <c r="G7" t="s">
        <v>3</v>
      </c>
      <c r="H7" s="4" t="s">
        <v>2</v>
      </c>
      <c r="J7" t="s">
        <v>3</v>
      </c>
      <c r="K7" s="4"/>
      <c r="L7" s="4" t="s">
        <v>4</v>
      </c>
      <c r="N7" t="s">
        <v>5</v>
      </c>
    </row>
    <row r="8" spans="5:14" x14ac:dyDescent="0.3">
      <c r="E8" t="s">
        <v>6</v>
      </c>
      <c r="F8" t="s">
        <v>7</v>
      </c>
      <c r="H8" s="4" t="s">
        <v>8</v>
      </c>
      <c r="K8" s="4"/>
      <c r="L8" s="4" t="s">
        <v>7</v>
      </c>
    </row>
    <row r="9" spans="5:14" x14ac:dyDescent="0.3">
      <c r="E9" t="s">
        <v>12</v>
      </c>
      <c r="F9">
        <v>168</v>
      </c>
      <c r="G9" s="1">
        <v>60</v>
      </c>
      <c r="H9" s="5">
        <v>10080</v>
      </c>
      <c r="J9" s="1">
        <v>100</v>
      </c>
      <c r="K9" s="4"/>
      <c r="L9" s="5">
        <f t="shared" ref="L9:L22" si="0">PRODUCT(F9:J9)</f>
        <v>10160640000</v>
      </c>
      <c r="N9" s="1"/>
    </row>
    <row r="10" spans="5:14" x14ac:dyDescent="0.3">
      <c r="E10" t="s">
        <v>13</v>
      </c>
      <c r="F10">
        <v>84</v>
      </c>
      <c r="G10" s="1">
        <v>60</v>
      </c>
      <c r="H10" s="5">
        <v>5040</v>
      </c>
      <c r="J10" s="1">
        <v>100</v>
      </c>
      <c r="K10" s="4"/>
      <c r="L10" s="5">
        <f t="shared" si="0"/>
        <v>2540160000</v>
      </c>
      <c r="N10" s="1"/>
    </row>
    <row r="11" spans="5:14" x14ac:dyDescent="0.3">
      <c r="E11" t="s">
        <v>14</v>
      </c>
      <c r="F11">
        <v>84</v>
      </c>
      <c r="G11" s="1">
        <v>60</v>
      </c>
      <c r="H11" s="5">
        <v>5040</v>
      </c>
      <c r="J11" s="1">
        <v>100</v>
      </c>
      <c r="K11" s="4"/>
      <c r="L11" s="7">
        <f t="shared" si="0"/>
        <v>2540160000</v>
      </c>
    </row>
    <row r="12" spans="5:14" x14ac:dyDescent="0.3">
      <c r="E12" t="s">
        <v>15</v>
      </c>
      <c r="F12">
        <v>168</v>
      </c>
      <c r="G12" s="1">
        <v>60</v>
      </c>
      <c r="H12" s="5">
        <v>10080</v>
      </c>
      <c r="J12" s="1">
        <v>100</v>
      </c>
      <c r="K12" s="4"/>
      <c r="L12" s="7">
        <f t="shared" si="0"/>
        <v>10160640000</v>
      </c>
    </row>
    <row r="13" spans="5:14" x14ac:dyDescent="0.3">
      <c r="E13" t="s">
        <v>16</v>
      </c>
      <c r="F13">
        <v>84</v>
      </c>
      <c r="G13" s="1">
        <v>60</v>
      </c>
      <c r="H13" s="5">
        <v>5040</v>
      </c>
      <c r="J13" s="1">
        <v>100</v>
      </c>
      <c r="K13" s="5"/>
      <c r="L13" s="7">
        <f t="shared" si="0"/>
        <v>2540160000</v>
      </c>
      <c r="M13" s="1"/>
      <c r="N13" s="1"/>
    </row>
    <row r="14" spans="5:14" x14ac:dyDescent="0.3">
      <c r="E14" t="s">
        <v>17</v>
      </c>
      <c r="F14">
        <v>84</v>
      </c>
      <c r="G14" s="1">
        <v>60</v>
      </c>
      <c r="H14" s="5">
        <v>5040</v>
      </c>
      <c r="J14" s="1">
        <v>100</v>
      </c>
      <c r="K14" s="5"/>
      <c r="L14" s="7">
        <f t="shared" si="0"/>
        <v>2540160000</v>
      </c>
      <c r="M14" s="1"/>
      <c r="N14" s="1"/>
    </row>
    <row r="15" spans="5:14" x14ac:dyDescent="0.3">
      <c r="E15" t="s">
        <v>18</v>
      </c>
      <c r="F15">
        <v>168</v>
      </c>
      <c r="G15" s="1">
        <v>60</v>
      </c>
      <c r="H15" s="5">
        <v>10080</v>
      </c>
      <c r="J15" s="1">
        <v>100</v>
      </c>
      <c r="K15" s="5"/>
      <c r="L15" s="7">
        <f t="shared" si="0"/>
        <v>10160640000</v>
      </c>
      <c r="M15" s="1"/>
      <c r="N15" s="1"/>
    </row>
    <row r="16" spans="5:14" x14ac:dyDescent="0.3">
      <c r="E16" t="s">
        <v>19</v>
      </c>
      <c r="F16">
        <v>84</v>
      </c>
      <c r="G16" s="1">
        <v>60</v>
      </c>
      <c r="H16" s="5">
        <v>5040</v>
      </c>
      <c r="J16" s="1">
        <v>100</v>
      </c>
      <c r="K16" s="5"/>
      <c r="L16" s="7">
        <f t="shared" si="0"/>
        <v>2540160000</v>
      </c>
      <c r="M16" s="1"/>
      <c r="N16" s="1"/>
    </row>
    <row r="17" spans="4:14" x14ac:dyDescent="0.3">
      <c r="E17" t="s">
        <v>20</v>
      </c>
      <c r="F17">
        <v>84</v>
      </c>
      <c r="G17" s="1">
        <v>60</v>
      </c>
      <c r="H17" s="5">
        <v>5040</v>
      </c>
      <c r="J17" s="1">
        <v>100</v>
      </c>
      <c r="K17" s="5"/>
      <c r="L17" s="7">
        <f t="shared" si="0"/>
        <v>2540160000</v>
      </c>
      <c r="M17" s="1"/>
      <c r="N17" s="1"/>
    </row>
    <row r="18" spans="4:14" x14ac:dyDescent="0.3">
      <c r="E18" t="s">
        <v>21</v>
      </c>
      <c r="F18">
        <v>168</v>
      </c>
      <c r="G18" s="1">
        <v>60</v>
      </c>
      <c r="H18" s="5">
        <v>10080</v>
      </c>
      <c r="J18" s="1">
        <v>100</v>
      </c>
      <c r="K18" s="4"/>
      <c r="L18" s="7">
        <f t="shared" si="0"/>
        <v>10160640000</v>
      </c>
      <c r="N18" s="1"/>
    </row>
    <row r="19" spans="4:14" x14ac:dyDescent="0.3">
      <c r="E19" t="s">
        <v>22</v>
      </c>
      <c r="F19">
        <v>84</v>
      </c>
      <c r="G19" s="1">
        <v>60</v>
      </c>
      <c r="H19" s="5">
        <v>5040</v>
      </c>
      <c r="J19" s="1">
        <v>100</v>
      </c>
      <c r="K19" s="4"/>
      <c r="L19" s="7">
        <f t="shared" si="0"/>
        <v>2540160000</v>
      </c>
      <c r="N19" s="1"/>
    </row>
    <row r="20" spans="4:14" x14ac:dyDescent="0.3">
      <c r="E20" t="s">
        <v>23</v>
      </c>
      <c r="F20">
        <v>84</v>
      </c>
      <c r="G20" s="1">
        <v>60</v>
      </c>
      <c r="H20" s="5">
        <v>5040</v>
      </c>
      <c r="J20" s="1">
        <v>100</v>
      </c>
      <c r="K20" s="4"/>
      <c r="L20" s="7">
        <f t="shared" si="0"/>
        <v>2540160000</v>
      </c>
      <c r="N20" s="1"/>
    </row>
    <row r="21" spans="4:14" x14ac:dyDescent="0.3">
      <c r="E21" t="s">
        <v>24</v>
      </c>
      <c r="F21">
        <v>168</v>
      </c>
      <c r="G21" s="1">
        <v>60</v>
      </c>
      <c r="H21" s="5">
        <v>10080</v>
      </c>
      <c r="J21" s="1">
        <v>100</v>
      </c>
      <c r="K21" s="4"/>
      <c r="L21" s="7">
        <f t="shared" si="0"/>
        <v>10160640000</v>
      </c>
      <c r="N21" s="1"/>
    </row>
    <row r="22" spans="4:14" x14ac:dyDescent="0.3">
      <c r="E22" t="s">
        <v>26</v>
      </c>
      <c r="F22">
        <v>84</v>
      </c>
      <c r="G22" s="1">
        <v>60</v>
      </c>
      <c r="H22" s="5">
        <v>5040</v>
      </c>
      <c r="J22" s="1">
        <v>100</v>
      </c>
      <c r="K22" s="4"/>
      <c r="L22" s="7">
        <f t="shared" si="0"/>
        <v>2540160000</v>
      </c>
      <c r="N22" s="1"/>
    </row>
    <row r="23" spans="4:14" x14ac:dyDescent="0.3">
      <c r="E23" t="s">
        <v>25</v>
      </c>
      <c r="G23" s="1">
        <v>840</v>
      </c>
      <c r="H23" s="5">
        <f>SUM(H9:H22)</f>
        <v>95760</v>
      </c>
      <c r="K23" s="4"/>
      <c r="L23" s="8">
        <f>SUM(L9:L22)</f>
        <v>73664640000</v>
      </c>
      <c r="N23" s="1"/>
    </row>
    <row r="24" spans="4:14" x14ac:dyDescent="0.3">
      <c r="E24" t="s">
        <v>9</v>
      </c>
      <c r="G24" s="1">
        <v>500</v>
      </c>
      <c r="H24" s="5">
        <v>500</v>
      </c>
      <c r="K24" s="4"/>
      <c r="L24" s="8">
        <v>500</v>
      </c>
      <c r="N24" s="2"/>
    </row>
    <row r="25" spans="4:14" x14ac:dyDescent="0.3">
      <c r="E25" t="s">
        <v>4</v>
      </c>
      <c r="F25" s="3"/>
      <c r="G25" s="1"/>
      <c r="H25" s="6"/>
      <c r="I25" s="3"/>
      <c r="K25" s="6"/>
      <c r="L25" s="7"/>
      <c r="M25" s="3"/>
      <c r="N25" s="1"/>
    </row>
    <row r="26" spans="4:14" x14ac:dyDescent="0.3">
      <c r="G26" s="1">
        <f>SUM(G9:G25)</f>
        <v>2180</v>
      </c>
      <c r="H26" s="1">
        <f>SUM(H23:H25)</f>
        <v>96260</v>
      </c>
      <c r="J26" s="1">
        <f>SUM(J9:J25)</f>
        <v>1400</v>
      </c>
      <c r="L26" s="9">
        <f>SUM(L23:L25)</f>
        <v>73664640500</v>
      </c>
      <c r="N26" s="5">
        <f>SUM(H26:L26)</f>
        <v>73664738160</v>
      </c>
    </row>
    <row r="29" spans="4:14" x14ac:dyDescent="0.3">
      <c r="D2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Estimate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Conner, Rebekah C</dc:creator>
  <cp:lastModifiedBy>Conner, Rebekah C</cp:lastModifiedBy>
  <dcterms:created xsi:type="dcterms:W3CDTF">2024-10-18T12:26:39Z</dcterms:created>
  <dcterms:modified xsi:type="dcterms:W3CDTF">2024-11-22T04:10:43Z</dcterms:modified>
</cp:coreProperties>
</file>