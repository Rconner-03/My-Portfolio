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dbc90c51ce46b280/Desktop/Business Analytics/"/>
    </mc:Choice>
  </mc:AlternateContent>
  <xr:revisionPtr revIDLastSave="0" documentId="8_{C662D644-F85D-46C8-8888-A521E716DBF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rvey Answers" sheetId="1" r:id="rId1"/>
    <sheet name="Organized Data" sheetId="2" r:id="rId2"/>
    <sheet name="Data Graph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2" l="1"/>
  <c r="F22" i="2"/>
  <c r="F24" i="2"/>
  <c r="F12" i="2"/>
  <c r="B30" i="2"/>
  <c r="B29" i="2"/>
  <c r="B28" i="2"/>
  <c r="J14" i="2"/>
  <c r="K14" i="2" s="1"/>
  <c r="J12" i="2"/>
  <c r="K12" i="2" s="1"/>
  <c r="J13" i="2"/>
  <c r="J15" i="2"/>
  <c r="K15" i="2" s="1"/>
  <c r="J11" i="2"/>
  <c r="K11" i="2" s="1"/>
  <c r="E24" i="2"/>
  <c r="E23" i="2"/>
  <c r="F23" i="2" s="1"/>
  <c r="E22" i="2"/>
  <c r="E21" i="2"/>
  <c r="F21" i="2" s="1"/>
  <c r="E20" i="2"/>
  <c r="F20" i="2" s="1"/>
  <c r="E19" i="2"/>
  <c r="F19" i="2" s="1"/>
  <c r="B25" i="2"/>
  <c r="B24" i="2"/>
  <c r="B23" i="2"/>
  <c r="E15" i="2"/>
  <c r="F15" i="2" s="1"/>
  <c r="E14" i="2"/>
  <c r="F14" i="2" s="1"/>
  <c r="E13" i="2"/>
  <c r="F13" i="2" s="1"/>
  <c r="E12" i="2"/>
  <c r="B20" i="2"/>
  <c r="B19" i="2"/>
  <c r="B15" i="2"/>
  <c r="B14" i="2"/>
  <c r="B5" i="2"/>
  <c r="B4" i="2"/>
  <c r="E11" i="2"/>
  <c r="F11" i="2" s="1"/>
  <c r="I7" i="2"/>
  <c r="H7" i="2"/>
  <c r="G7" i="2"/>
  <c r="F7" i="2"/>
  <c r="E7" i="2"/>
  <c r="I6" i="2"/>
  <c r="H6" i="2"/>
  <c r="G6" i="2"/>
  <c r="F6" i="2"/>
  <c r="E6" i="2"/>
  <c r="I5" i="2"/>
  <c r="H5" i="2"/>
  <c r="G5" i="2"/>
  <c r="F5" i="2"/>
  <c r="E5" i="2"/>
  <c r="I4" i="2"/>
  <c r="H4" i="2"/>
  <c r="G4" i="2"/>
  <c r="F4" i="2"/>
  <c r="E4" i="2"/>
  <c r="I3" i="2"/>
  <c r="H3" i="2"/>
  <c r="E3" i="2"/>
  <c r="G3" i="2"/>
  <c r="F3" i="2"/>
  <c r="B18" i="2"/>
  <c r="B13" i="2"/>
  <c r="B10" i="2"/>
  <c r="B9" i="2"/>
  <c r="B8" i="2"/>
  <c r="B3" i="2"/>
  <c r="B2" i="2"/>
</calcChain>
</file>

<file path=xl/sharedStrings.xml><?xml version="1.0" encoding="utf-8"?>
<sst xmlns="http://schemas.openxmlformats.org/spreadsheetml/2006/main" count="378" uniqueCount="150">
  <si>
    <t>Timestamp</t>
  </si>
  <si>
    <t>do you have a clear pland after graduation&gt;</t>
  </si>
  <si>
    <t>what path are you most likely to pursue immidietly after graduation?</t>
  </si>
  <si>
    <t>how confident are you in your ability to write a prfesional resume?</t>
  </si>
  <si>
    <t>how confident are you in your interview skills?</t>
  </si>
  <si>
    <t>rate your confidence in the following. ( 1 - not confident, 5- confident) [communication]</t>
  </si>
  <si>
    <t>rate your confidence in the following. ( 1 - not confident, 5- confident) [teamwork]</t>
  </si>
  <si>
    <t>rate your confidence in the following. ( 1 - not confident, 5- confident) [problem-solving]</t>
  </si>
  <si>
    <t>rate your confidence in the following. ( 1 - not confident, 5- confident) [time managment]</t>
  </si>
  <si>
    <t>rate your confidence in the following. ( 1 - not confident, 5- confident) [technology skills]</t>
  </si>
  <si>
    <t>have you participated in any of the following?</t>
  </si>
  <si>
    <t>do you feel you have enough information about potential career paths?</t>
  </si>
  <si>
    <t>what resources would help you feel more prepared for you career?</t>
  </si>
  <si>
    <t>what barriers, if any, do you feel may prevent you from achieving your career goals?</t>
  </si>
  <si>
    <t>how many time have you visited the career center over the last year?</t>
  </si>
  <si>
    <t>in your own word wht would you make you feel more prepared for you future after graduation?</t>
  </si>
  <si>
    <t>i have a general idea</t>
  </si>
  <si>
    <t>full-time employment</t>
  </si>
  <si>
    <t>somewhat confident</t>
  </si>
  <si>
    <t>very confident</t>
  </si>
  <si>
    <t>career fair or networking</t>
  </si>
  <si>
    <t>somewhat</t>
  </si>
  <si>
    <t>resume/cover letter workshops, interview practice, job search stategies, financial literacy (budgeting, credit, loans), networking opportunities</t>
  </si>
  <si>
    <t>lack of experience</t>
  </si>
  <si>
    <t>better understanding on topics and internship</t>
  </si>
  <si>
    <t>job shadowing, internship or work-based learning</t>
  </si>
  <si>
    <t>career counsiling/advising, job search stategies, networking opportunities</t>
  </si>
  <si>
    <t>finnacial assistance</t>
  </si>
  <si>
    <t>i have no plan</t>
  </si>
  <si>
    <t>internship or work-based learning</t>
  </si>
  <si>
    <t>yes</t>
  </si>
  <si>
    <t>resume/cover letter workshops, financial literacy (budgeting, credit, loans), networking opportunities</t>
  </si>
  <si>
    <t>have a plan</t>
  </si>
  <si>
    <t>job search stategies, financial literacy (budgeting, credit, loans), networking opportunities</t>
  </si>
  <si>
    <t>experience</t>
  </si>
  <si>
    <t>im still exploring my options</t>
  </si>
  <si>
    <t>internship or work-based learning, career fair or networking</t>
  </si>
  <si>
    <t>interview practice, job search stategies, financial literacy (budgeting, credit, loans), networking opportunities</t>
  </si>
  <si>
    <t>feel ready to interview</t>
  </si>
  <si>
    <t>career counsiling</t>
  </si>
  <si>
    <t>no</t>
  </si>
  <si>
    <t>interview practice, career counsiling/advising, financial literacy (budgeting, credit, loans), networking opportunities</t>
  </si>
  <si>
    <t>hand on experience</t>
  </si>
  <si>
    <t>interview practice, career counsiling/advising, job search stategies, networking opportunities</t>
  </si>
  <si>
    <t>internship</t>
  </si>
  <si>
    <t>none of the above</t>
  </si>
  <si>
    <t>resume/cover letter workshops, interview practice, financial literacy (budgeting, credit, loans), networking opportunities</t>
  </si>
  <si>
    <t>lack of experience, lack of confidence, financial challenges</t>
  </si>
  <si>
    <t>no response</t>
  </si>
  <si>
    <t>resume/cover letter workshops, interview practice, job search stategies, financial literacy (budgeting, credit, loans)</t>
  </si>
  <si>
    <t>lack of experience, financial challenges</t>
  </si>
  <si>
    <t>resume/cover letter workshops, job search stategies, networking opportunities</t>
  </si>
  <si>
    <t>job opportunities</t>
  </si>
  <si>
    <t>yes, i know exactly</t>
  </si>
  <si>
    <t>job shadowing, internship or work-based learning, career fair or networking</t>
  </si>
  <si>
    <t>career counsiling/advising, financial literacy (budgeting, credit, loans), networking opportunities</t>
  </si>
  <si>
    <t>financial challenges</t>
  </si>
  <si>
    <t>feel well prepared already</t>
  </si>
  <si>
    <t>networking opportunities</t>
  </si>
  <si>
    <t>none</t>
  </si>
  <si>
    <t>I feel Prepared</t>
  </si>
  <si>
    <t>resume/cover letter workshops, interview practice, career counsiling/advising, job search stategies, financial literacy (budgeting, credit, loans), networking opportunities</t>
  </si>
  <si>
    <t>lock in</t>
  </si>
  <si>
    <t>colllege/university</t>
  </si>
  <si>
    <t>resume/cover letter workshops, networking opportunities</t>
  </si>
  <si>
    <t>resume and networking</t>
  </si>
  <si>
    <t>not confident</t>
  </si>
  <si>
    <t xml:space="preserve">Getting experience and practicing for interviews
</t>
  </si>
  <si>
    <t>resume/cover letter workshops, career counsiling/advising</t>
  </si>
  <si>
    <t>internship information</t>
  </si>
  <si>
    <t>interview practice, networking opportunities</t>
  </si>
  <si>
    <t>limited resource/support</t>
  </si>
  <si>
    <t>clear guidance from mentor or someone in field of study</t>
  </si>
  <si>
    <t>resume/cover letter workshops, interview practice, job search stategies, networking opportunities</t>
  </si>
  <si>
    <t>good grades</t>
  </si>
  <si>
    <t>lack of confidence</t>
  </si>
  <si>
    <t>job shadowing, career fair or networking</t>
  </si>
  <si>
    <t>resume/cover letter workshops, interview practice, networking opportunities</t>
  </si>
  <si>
    <t>lack of experience, limited resource/support</t>
  </si>
  <si>
    <t>lack of experience, lack of confidence</t>
  </si>
  <si>
    <t>hands on experience</t>
  </si>
  <si>
    <t xml:space="preserve">wishes accounting teachers would teach and help get an internship
</t>
  </si>
  <si>
    <t xml:space="preserve">counsler </t>
  </si>
  <si>
    <t>job search stategies, networking opportunities</t>
  </si>
  <si>
    <t xml:space="preserve">more knowledge of what my daily career would look like
</t>
  </si>
  <si>
    <t>resume/cover letter workshops, career counsiling/advising, job search stategies, financial literacy (budgeting, credit, loans), networking opportunities</t>
  </si>
  <si>
    <t>already planned</t>
  </si>
  <si>
    <t>more connections to companies</t>
  </si>
  <si>
    <t>more experience, source, and networking</t>
  </si>
  <si>
    <t>gap year/travel</t>
  </si>
  <si>
    <t>resume/cover letter workshops, interview practice, career counsiling/advising</t>
  </si>
  <si>
    <t>Personally nothing, many finanicial challenges right now</t>
  </si>
  <si>
    <t>career counsiling/advising, job search stategies, financial literacy (budgeting, credit, loans), networking opportunities</t>
  </si>
  <si>
    <t>lack of experience, limited resource/support, financial challenges</t>
  </si>
  <si>
    <t>bigger network/connections</t>
  </si>
  <si>
    <t>internship or work-based learning, career counsiling, career fair or networking</t>
  </si>
  <si>
    <t>interview practice, financial literacy (budgeting, credit, loans)</t>
  </si>
  <si>
    <t>having a clear path by the spring semester</t>
  </si>
  <si>
    <t>job fair and career path opportunities</t>
  </si>
  <si>
    <t>already set to go</t>
  </si>
  <si>
    <t>resume/cover letter workshops, interview practice, career counsiling/advising, job search stategies, financial literacy (budgeting, credit, loans)</t>
  </si>
  <si>
    <t>do better at taking advantage of what trevecca has to offer</t>
  </si>
  <si>
    <t>interview practice, job search stategies, financial literacy (budgeting, credit, loans)</t>
  </si>
  <si>
    <t>Plans After Graduation</t>
  </si>
  <si>
    <t>Confidence in (1 - least, 5 - most):</t>
  </si>
  <si>
    <t>Exact Plan</t>
  </si>
  <si>
    <t>General Idea</t>
  </si>
  <si>
    <t>Comunication</t>
  </si>
  <si>
    <t>Exploring Options</t>
  </si>
  <si>
    <t>Teamwork</t>
  </si>
  <si>
    <t>No Plan</t>
  </si>
  <si>
    <t>Problem-Solving</t>
  </si>
  <si>
    <t>Time Management</t>
  </si>
  <si>
    <t>Path after Graduation</t>
  </si>
  <si>
    <t>Tech Skills</t>
  </si>
  <si>
    <t>Full-time Employment</t>
  </si>
  <si>
    <t>College/University</t>
  </si>
  <si>
    <t>Gap/Travel</t>
  </si>
  <si>
    <t>Participation in the following:</t>
  </si>
  <si>
    <t>Barriers that Prevent Career Goal</t>
  </si>
  <si>
    <t>Job Shadowing</t>
  </si>
  <si>
    <t>Lack of Experience</t>
  </si>
  <si>
    <t>Confidence in Writing Resume</t>
  </si>
  <si>
    <t>Internship/Work-based learning</t>
  </si>
  <si>
    <t>Lack of Confidence</t>
  </si>
  <si>
    <t>Very Confident</t>
  </si>
  <si>
    <t>Career Counsiling</t>
  </si>
  <si>
    <t>Limited Resource/Support</t>
  </si>
  <si>
    <t>Somewhat</t>
  </si>
  <si>
    <t>Career Fair/Networking</t>
  </si>
  <si>
    <t>Financial Challenges</t>
  </si>
  <si>
    <t>Not at all</t>
  </si>
  <si>
    <t>None of the Above</t>
  </si>
  <si>
    <t>None</t>
  </si>
  <si>
    <t>Confidence in Interview Skill</t>
  </si>
  <si>
    <t>What Resouces Would Help</t>
  </si>
  <si>
    <t>Resume/Cover Letter Workshop</t>
  </si>
  <si>
    <t>The percentages that are present are the number divided by the total number of suverveys submitted. So for Interveiw practive 54% of all seniors who completed the servey say they would like more help with interview practice.</t>
  </si>
  <si>
    <t>Interview Practice</t>
  </si>
  <si>
    <t>Career Counsiling/Advising</t>
  </si>
  <si>
    <t>Enough Info on Career</t>
  </si>
  <si>
    <t>Job Search Strats</t>
  </si>
  <si>
    <t>Yes</t>
  </si>
  <si>
    <t>Financial Literacy</t>
  </si>
  <si>
    <t>Networking Opportunities</t>
  </si>
  <si>
    <t>No</t>
  </si>
  <si>
    <t>Number of Career Center Visits</t>
  </si>
  <si>
    <t>Zero</t>
  </si>
  <si>
    <t>Once</t>
  </si>
  <si>
    <t>Twice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</si>
</sst>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2" fillId="0" borderId="0" xfId="0" applyFont="1"/>
    <xf numFmtId="0" fontId="2" fillId="0" borderId="15" xfId="0" applyFont="1" applyBorder="1"/>
    <xf numFmtId="0" fontId="2" fillId="0" borderId="16" xfId="0" applyFont="1" applyBorder="1"/>
    <xf numFmtId="0" fontId="0" fillId="0" borderId="16" xfId="0" applyBorder="1"/>
    <xf numFmtId="0" fontId="2" fillId="0" borderId="17" xfId="0" applyFont="1" applyBorder="1"/>
    <xf numFmtId="0" fontId="0" fillId="0" borderId="18" xfId="0" applyBorder="1"/>
    <xf numFmtId="0" fontId="0" fillId="0" borderId="15" xfId="0" applyBorder="1"/>
    <xf numFmtId="0" fontId="0" fillId="0" borderId="17" xfId="0" applyBorder="1"/>
    <xf numFmtId="9" fontId="0" fillId="0" borderId="16" xfId="1" applyFont="1" applyBorder="1"/>
    <xf numFmtId="0" fontId="0" fillId="0" borderId="20" xfId="0" applyBorder="1"/>
    <xf numFmtId="9" fontId="0" fillId="0" borderId="18" xfId="1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2" borderId="0" xfId="0" applyFill="1" applyAlignment="1">
      <alignment horizontal="left" vertical="top" wrapText="1"/>
    </xf>
    <xf numFmtId="0" fontId="0" fillId="0" borderId="1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7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19" xfId="0" applyBorder="1" applyAlignment="1">
      <alignment horizontal="center"/>
    </xf>
    <xf numFmtId="0" fontId="2" fillId="0" borderId="19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Plans</a:t>
            </a:r>
            <a:r>
              <a:rPr lang="en-US" baseline="0"/>
              <a:t> after graduation?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91-4C5D-81E2-8713B25401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91-4C5D-81E2-8713B25401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91-4C5D-81E2-8713B25401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91-4C5D-81E2-8713B25401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'Organized Data'!$A$2:$A$5</c:f>
              <c:strCache>
                <c:ptCount val="4"/>
                <c:pt idx="0">
                  <c:v>Exact Plan</c:v>
                </c:pt>
                <c:pt idx="1">
                  <c:v>General Idea</c:v>
                </c:pt>
                <c:pt idx="2">
                  <c:v>Exploring Options</c:v>
                </c:pt>
                <c:pt idx="3">
                  <c:v>No Plan</c:v>
                </c:pt>
              </c:strCache>
            </c:strRef>
          </c:cat>
          <c:val>
            <c:numRef>
              <c:f>'Organized Data'!$B$2:$B$5</c:f>
              <c:numCache>
                <c:formatCode>General</c:formatCode>
                <c:ptCount val="4"/>
                <c:pt idx="0">
                  <c:v>4</c:v>
                </c:pt>
                <c:pt idx="1">
                  <c:v>21</c:v>
                </c:pt>
                <c:pt idx="2">
                  <c:v>7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6F-4B6F-8770-4E97E1C543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Path</a:t>
            </a:r>
            <a:r>
              <a:rPr lang="en-US" baseline="0"/>
              <a:t> pursued after graduation?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B5D-4D9E-9298-7F17F230D0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B5D-4D9E-9298-7F17F230D0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B5D-4D9E-9298-7F17F230D0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'Organized Data'!$A$8:$A$10</c:f>
              <c:strCache>
                <c:ptCount val="3"/>
                <c:pt idx="0">
                  <c:v>Full-time Employment</c:v>
                </c:pt>
                <c:pt idx="1">
                  <c:v>College/University</c:v>
                </c:pt>
                <c:pt idx="2">
                  <c:v>Gap/Travel</c:v>
                </c:pt>
              </c:strCache>
            </c:strRef>
          </c:cat>
          <c:val>
            <c:numRef>
              <c:f>'Organized Data'!$B$8:$B$10</c:f>
              <c:numCache>
                <c:formatCode>General</c:formatCode>
                <c:ptCount val="3"/>
                <c:pt idx="0">
                  <c:v>30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2-4870-9D4B-115163619B8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</a:t>
            </a:r>
            <a:r>
              <a:rPr lang="en-US" baseline="0"/>
              <a:t> you confident in writing a Resume?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83-4C59-A085-3AC8E33810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83-4C59-A085-3AC8E33810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83-4C59-A085-3AC8E338100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E83-4C59-A085-3AC8E33810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'Organized Data'!$A$12:$A$15</c:f>
              <c:strCache>
                <c:ptCount val="4"/>
                <c:pt idx="0">
                  <c:v>Confidence in Writing Resume</c:v>
                </c:pt>
                <c:pt idx="1">
                  <c:v>Very Confident</c:v>
                </c:pt>
                <c:pt idx="2">
                  <c:v>Somewhat</c:v>
                </c:pt>
                <c:pt idx="3">
                  <c:v>Not at all</c:v>
                </c:pt>
              </c:strCache>
            </c:strRef>
          </c:cat>
          <c:val>
            <c:numRef>
              <c:f>'Organized Data'!$B$12:$B$15</c:f>
              <c:numCache>
                <c:formatCode>General</c:formatCode>
                <c:ptCount val="4"/>
                <c:pt idx="1">
                  <c:v>13</c:v>
                </c:pt>
                <c:pt idx="2">
                  <c:v>21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3-4398-B1EF-AA763511114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18199941577070308"/>
          <c:y val="0.75675081056044469"/>
          <c:w val="0.57351762715707044"/>
          <c:h val="0.200695817278159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Ae you confident in you interviewing</a:t>
            </a:r>
            <a:r>
              <a:rPr lang="en-US" baseline="0"/>
              <a:t> Skill?</a:t>
            </a:r>
            <a:endParaRPr lang="en-US"/>
          </a:p>
        </c:rich>
      </c:tx>
      <c:layout>
        <c:manualLayout>
          <c:xMode val="edge"/>
          <c:yMode val="edge"/>
          <c:x val="0.16463636363636364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20-458C-B963-0282E16B29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20-458C-B963-0282E16B296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520-458C-B963-0282E16B29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'Organized Data'!$A$18:$A$20</c:f>
              <c:strCache>
                <c:ptCount val="3"/>
                <c:pt idx="0">
                  <c:v>Very Confident</c:v>
                </c:pt>
                <c:pt idx="1">
                  <c:v>Somewhat</c:v>
                </c:pt>
                <c:pt idx="2">
                  <c:v>Not at all</c:v>
                </c:pt>
              </c:strCache>
            </c:strRef>
          </c:cat>
          <c:val>
            <c:numRef>
              <c:f>'Organized Data'!$B$18:$B$20</c:f>
              <c:numCache>
                <c:formatCode>General</c:formatCode>
                <c:ptCount val="3"/>
                <c:pt idx="0">
                  <c:v>14</c:v>
                </c:pt>
                <c:pt idx="1">
                  <c:v>17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2-4F7B-9CBC-E6263BCEA63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Rate Confidence in Following (1</a:t>
            </a:r>
            <a:r>
              <a:rPr lang="en-US" baseline="0"/>
              <a:t> = Least, 5 = Most):</a:t>
            </a:r>
            <a:endParaRPr lang="en-US"/>
          </a:p>
        </c:rich>
      </c:tx>
      <c:layout>
        <c:manualLayout>
          <c:xMode val="edge"/>
          <c:yMode val="edge"/>
          <c:x val="0.23402897113430854"/>
          <c:y val="2.77778802239883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'Organized Data'!$E$2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'Organized Data'!$D$3:$D$7</c:f>
              <c:strCache>
                <c:ptCount val="5"/>
                <c:pt idx="0">
                  <c:v>Comunication</c:v>
                </c:pt>
                <c:pt idx="1">
                  <c:v>Teamwork</c:v>
                </c:pt>
                <c:pt idx="2">
                  <c:v>Problem-Solving</c:v>
                </c:pt>
                <c:pt idx="3">
                  <c:v>Time Management</c:v>
                </c:pt>
                <c:pt idx="4">
                  <c:v>Tech Skills</c:v>
                </c:pt>
              </c:strCache>
            </c:strRef>
          </c:cat>
          <c:val>
            <c:numRef>
              <c:f>'Organized Data'!$E$3:$E$7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C-4905-BB59-E9FD751E760E}"/>
            </c:ext>
          </c:extLst>
        </c:ser>
        <c:ser>
          <c:idx val="1"/>
          <c:order val="1"/>
          <c:tx>
            <c:strRef>
              <c:f>'Organized Data'!$F$2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'Organized Data'!$D$3:$D$7</c:f>
              <c:strCache>
                <c:ptCount val="5"/>
                <c:pt idx="0">
                  <c:v>Comunication</c:v>
                </c:pt>
                <c:pt idx="1">
                  <c:v>Teamwork</c:v>
                </c:pt>
                <c:pt idx="2">
                  <c:v>Problem-Solving</c:v>
                </c:pt>
                <c:pt idx="3">
                  <c:v>Time Management</c:v>
                </c:pt>
                <c:pt idx="4">
                  <c:v>Tech Skills</c:v>
                </c:pt>
              </c:strCache>
            </c:strRef>
          </c:cat>
          <c:val>
            <c:numRef>
              <c:f>'Organized Data'!$F$3:$F$7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AC-4905-BB59-E9FD751E760E}"/>
            </c:ext>
          </c:extLst>
        </c:ser>
        <c:ser>
          <c:idx val="2"/>
          <c:order val="2"/>
          <c:tx>
            <c:strRef>
              <c:f>'Organized Data'!$G$2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'Organized Data'!$D$3:$D$7</c:f>
              <c:strCache>
                <c:ptCount val="5"/>
                <c:pt idx="0">
                  <c:v>Comunication</c:v>
                </c:pt>
                <c:pt idx="1">
                  <c:v>Teamwork</c:v>
                </c:pt>
                <c:pt idx="2">
                  <c:v>Problem-Solving</c:v>
                </c:pt>
                <c:pt idx="3">
                  <c:v>Time Management</c:v>
                </c:pt>
                <c:pt idx="4">
                  <c:v>Tech Skills</c:v>
                </c:pt>
              </c:strCache>
            </c:strRef>
          </c:cat>
          <c:val>
            <c:numRef>
              <c:f>'Organized Data'!$G$3:$G$7</c:f>
              <c:numCache>
                <c:formatCode>General</c:formatCode>
                <c:ptCount val="5"/>
                <c:pt idx="0">
                  <c:v>7</c:v>
                </c:pt>
                <c:pt idx="1">
                  <c:v>1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AC-4905-BB59-E9FD751E760E}"/>
            </c:ext>
          </c:extLst>
        </c:ser>
        <c:ser>
          <c:idx val="3"/>
          <c:order val="3"/>
          <c:tx>
            <c:strRef>
              <c:f>'Organized Data'!$H$2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'Organized Data'!$D$3:$D$7</c:f>
              <c:strCache>
                <c:ptCount val="5"/>
                <c:pt idx="0">
                  <c:v>Comunication</c:v>
                </c:pt>
                <c:pt idx="1">
                  <c:v>Teamwork</c:v>
                </c:pt>
                <c:pt idx="2">
                  <c:v>Problem-Solving</c:v>
                </c:pt>
                <c:pt idx="3">
                  <c:v>Time Management</c:v>
                </c:pt>
                <c:pt idx="4">
                  <c:v>Tech Skills</c:v>
                </c:pt>
              </c:strCache>
            </c:strRef>
          </c:cat>
          <c:val>
            <c:numRef>
              <c:f>'Organized Data'!$H$3:$H$7</c:f>
              <c:numCache>
                <c:formatCode>General</c:formatCode>
                <c:ptCount val="5"/>
                <c:pt idx="0">
                  <c:v>17</c:v>
                </c:pt>
                <c:pt idx="1">
                  <c:v>15</c:v>
                </c:pt>
                <c:pt idx="2">
                  <c:v>22</c:v>
                </c:pt>
                <c:pt idx="3">
                  <c:v>17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AC-4905-BB59-E9FD751E760E}"/>
            </c:ext>
          </c:extLst>
        </c:ser>
        <c:ser>
          <c:idx val="4"/>
          <c:order val="4"/>
          <c:tx>
            <c:strRef>
              <c:f>'Organized Data'!$I$2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'Organized Data'!$D$3:$D$7</c:f>
              <c:strCache>
                <c:ptCount val="5"/>
                <c:pt idx="0">
                  <c:v>Comunication</c:v>
                </c:pt>
                <c:pt idx="1">
                  <c:v>Teamwork</c:v>
                </c:pt>
                <c:pt idx="2">
                  <c:v>Problem-Solving</c:v>
                </c:pt>
                <c:pt idx="3">
                  <c:v>Time Management</c:v>
                </c:pt>
                <c:pt idx="4">
                  <c:v>Tech Skills</c:v>
                </c:pt>
              </c:strCache>
            </c:strRef>
          </c:cat>
          <c:val>
            <c:numRef>
              <c:f>'Organized Data'!$I$3:$I$7</c:f>
              <c:numCache>
                <c:formatCode>General</c:formatCode>
                <c:ptCount val="5"/>
                <c:pt idx="0">
                  <c:v>10</c:v>
                </c:pt>
                <c:pt idx="1">
                  <c:v>19</c:v>
                </c:pt>
                <c:pt idx="2">
                  <c:v>6</c:v>
                </c:pt>
                <c:pt idx="3">
                  <c:v>10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AC-4905-BB59-E9FD751E76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5730863"/>
        <c:axId val="465731343"/>
      </c:barChart>
      <c:catAx>
        <c:axId val="465730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731343"/>
        <c:crosses val="autoZero"/>
        <c:auto val="1"/>
        <c:lblAlgn val="ctr"/>
        <c:lblOffset val="100"/>
        <c:noMultiLvlLbl val="0"/>
      </c:catAx>
      <c:valAx>
        <c:axId val="46573134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46573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Have</a:t>
            </a:r>
            <a:r>
              <a:rPr lang="en-US" baseline="0"/>
              <a:t> you participated in the following: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302996500437446"/>
          <c:y val="0.19027777777777777"/>
          <c:w val="0.55751181102362202"/>
          <c:h val="0.7311111111111111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'Organized Data'!$D$11:$D$15</c:f>
              <c:strCache>
                <c:ptCount val="5"/>
                <c:pt idx="0">
                  <c:v>Job Shadowing</c:v>
                </c:pt>
                <c:pt idx="1">
                  <c:v>Internship/Work-based learning</c:v>
                </c:pt>
                <c:pt idx="2">
                  <c:v>Career Counsiling</c:v>
                </c:pt>
                <c:pt idx="3">
                  <c:v>Career Fair/Networking</c:v>
                </c:pt>
                <c:pt idx="4">
                  <c:v>None of the Above</c:v>
                </c:pt>
              </c:strCache>
            </c:strRef>
          </c:cat>
          <c:val>
            <c:numRef>
              <c:f>'Organized Data'!$F$11:$F$15</c:f>
              <c:numCache>
                <c:formatCode>0%</c:formatCode>
                <c:ptCount val="5"/>
                <c:pt idx="0">
                  <c:v>0.4</c:v>
                </c:pt>
                <c:pt idx="1">
                  <c:v>0.7142857142857143</c:v>
                </c:pt>
                <c:pt idx="2">
                  <c:v>5.7142857142857141E-2</c:v>
                </c:pt>
                <c:pt idx="3">
                  <c:v>0.4</c:v>
                </c:pt>
                <c:pt idx="4">
                  <c:v>0.14285714285714285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0E-47C9-B4AC-0FAE5FB620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5719343"/>
        <c:axId val="465703023"/>
      </c:barChart>
      <c:catAx>
        <c:axId val="465719343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703023"/>
        <c:crosses val="autoZero"/>
        <c:auto val="1"/>
        <c:lblAlgn val="ctr"/>
        <c:lblOffset val="100"/>
        <c:noMultiLvlLbl val="0"/>
      </c:catAx>
      <c:valAx>
        <c:axId val="465703023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46571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 you have info on career?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7E-4280-8C9E-C635CE9D11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7E-4280-8C9E-C635CE9D11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17E-4280-8C9E-C635CE9D119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'Organized Data'!$A$23:$A$25</c:f>
              <c:strCache>
                <c:ptCount val="3"/>
                <c:pt idx="0">
                  <c:v>Yes</c:v>
                </c:pt>
                <c:pt idx="1">
                  <c:v>Somewhat</c:v>
                </c:pt>
                <c:pt idx="2">
                  <c:v>No</c:v>
                </c:pt>
              </c:strCache>
            </c:strRef>
          </c:cat>
          <c:val>
            <c:numRef>
              <c:f>'Organized Data'!$B$23:$B$25</c:f>
              <c:numCache>
                <c:formatCode>General</c:formatCode>
                <c:ptCount val="3"/>
                <c:pt idx="0">
                  <c:v>11</c:v>
                </c:pt>
                <c:pt idx="1">
                  <c:v>18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C-4CAA-8663-8D966B7E4C4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Barriers</a:t>
            </a:r>
            <a:r>
              <a:rPr lang="en-US" baseline="0"/>
              <a:t> that may prevet Career goal?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'Organized Data'!$H$11:$H$15</c:f>
              <c:strCache>
                <c:ptCount val="5"/>
                <c:pt idx="0">
                  <c:v>Lack of Experience</c:v>
                </c:pt>
                <c:pt idx="1">
                  <c:v>Lack of Confidence</c:v>
                </c:pt>
                <c:pt idx="2">
                  <c:v>Limited Resource/Support</c:v>
                </c:pt>
                <c:pt idx="3">
                  <c:v>Financial Challenges</c:v>
                </c:pt>
                <c:pt idx="4">
                  <c:v>None</c:v>
                </c:pt>
              </c:strCache>
            </c:strRef>
          </c:cat>
          <c:val>
            <c:numRef>
              <c:f>'Organized Data'!$I$11:$I$15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9AF3-4F7B-A022-C244705854A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'Organized Data'!$H$11:$H$15</c:f>
              <c:strCache>
                <c:ptCount val="5"/>
                <c:pt idx="0">
                  <c:v>Lack of Experience</c:v>
                </c:pt>
                <c:pt idx="1">
                  <c:v>Lack of Confidence</c:v>
                </c:pt>
                <c:pt idx="2">
                  <c:v>Limited Resource/Support</c:v>
                </c:pt>
                <c:pt idx="3">
                  <c:v>Financial Challenges</c:v>
                </c:pt>
                <c:pt idx="4">
                  <c:v>None</c:v>
                </c:pt>
              </c:strCache>
            </c:strRef>
          </c:cat>
          <c:val>
            <c:numRef>
              <c:f>'Organized Data'!$K$11:$K$15</c:f>
              <c:numCache>
                <c:formatCode>0%</c:formatCode>
                <c:ptCount val="5"/>
                <c:pt idx="0">
                  <c:v>0.7142857142857143</c:v>
                </c:pt>
                <c:pt idx="1">
                  <c:v>0.11428571428571428</c:v>
                </c:pt>
                <c:pt idx="2">
                  <c:v>0.2857142857142857</c:v>
                </c:pt>
                <c:pt idx="3">
                  <c:v>0.2857142857142857</c:v>
                </c:pt>
                <c:pt idx="4">
                  <c:v>2.8571428571428571E-2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F3-4F7B-A022-C244705854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5786063"/>
        <c:axId val="465788463"/>
      </c:barChart>
      <c:catAx>
        <c:axId val="4657860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788463"/>
        <c:crosses val="autoZero"/>
        <c:auto val="1"/>
        <c:lblAlgn val="ctr"/>
        <c:lblOffset val="100"/>
        <c:noMultiLvlLbl val="0"/>
      </c:catAx>
      <c:valAx>
        <c:axId val="465788463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65786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 Resources Could Help?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'Organized Data'!$D$19:$D$24</c:f>
              <c:strCache>
                <c:ptCount val="6"/>
                <c:pt idx="0">
                  <c:v>Resume/Cover Letter Workshop</c:v>
                </c:pt>
                <c:pt idx="1">
                  <c:v>Interview Practice</c:v>
                </c:pt>
                <c:pt idx="2">
                  <c:v>Career Counsiling/Advising</c:v>
                </c:pt>
                <c:pt idx="3">
                  <c:v>Job Search Strats</c:v>
                </c:pt>
                <c:pt idx="4">
                  <c:v>Financial Literacy</c:v>
                </c:pt>
                <c:pt idx="5">
                  <c:v>Networking Opportunities</c:v>
                </c:pt>
              </c:strCache>
            </c:strRef>
          </c:cat>
          <c:val>
            <c:numRef>
              <c:f>'Organized Data'!$F$19:$F$24</c:f>
              <c:numCache>
                <c:formatCode>0%</c:formatCode>
                <c:ptCount val="6"/>
                <c:pt idx="0">
                  <c:v>0.51428571428571423</c:v>
                </c:pt>
                <c:pt idx="1">
                  <c:v>0.54285714285714282</c:v>
                </c:pt>
                <c:pt idx="2">
                  <c:v>0.4</c:v>
                </c:pt>
                <c:pt idx="3">
                  <c:v>0.6</c:v>
                </c:pt>
                <c:pt idx="4">
                  <c:v>0.5714285714285714</c:v>
                </c:pt>
                <c:pt idx="5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23-41A6-8A53-0ADA7BB2D0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5794703"/>
        <c:axId val="465797583"/>
      </c:barChart>
      <c:catAx>
        <c:axId val="46579470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797583"/>
        <c:crosses val="autoZero"/>
        <c:auto val="1"/>
        <c:lblAlgn val="ctr"/>
        <c:lblOffset val="100"/>
        <c:noMultiLvlLbl val="0"/>
      </c:catAx>
      <c:valAx>
        <c:axId val="465797583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465794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358140</xdr:colOff>
      <xdr:row>12</xdr:row>
      <xdr:rowOff>68580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6A597E2-E76D-95E1-2CAB-F57902831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350520</xdr:colOff>
      <xdr:row>0</xdr:row>
      <xdr:rowOff>0</xdr:rowOff>
    </xdr:from>
    <xdr:to>
      <xdr:col>11</xdr:col>
      <xdr:colOff>152400</xdr:colOff>
      <xdr:row>12</xdr:row>
      <xdr:rowOff>68580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5E2ECC9-C403-D8B4-97D8-33C6ED5D3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190500</xdr:colOff>
      <xdr:row>0</xdr:row>
      <xdr:rowOff>0</xdr:rowOff>
    </xdr:from>
    <xdr:to>
      <xdr:col>18</xdr:col>
      <xdr:colOff>0</xdr:colOff>
      <xdr:row>12</xdr:row>
      <xdr:rowOff>53340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6C6DA19-1814-8381-4EAB-8661471AF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38100</xdr:colOff>
      <xdr:row>0</xdr:row>
      <xdr:rowOff>0</xdr:rowOff>
    </xdr:from>
    <xdr:to>
      <xdr:col>25</xdr:col>
      <xdr:colOff>243840</xdr:colOff>
      <xdr:row>12</xdr:row>
      <xdr:rowOff>45720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5C52827-C99D-62CD-C17C-11FC1D329A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</xdr:row>
      <xdr:rowOff>114300</xdr:rowOff>
    </xdr:from>
    <xdr:to>
      <xdr:col>9</xdr:col>
      <xdr:colOff>441960</xdr:colOff>
      <xdr:row>29</xdr:row>
      <xdr:rowOff>53340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FAD231C-E285-A37E-B5F7-DAF27CF6C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518160</xdr:colOff>
      <xdr:row>13</xdr:row>
      <xdr:rowOff>15240</xdr:rowOff>
    </xdr:from>
    <xdr:to>
      <xdr:col>17</xdr:col>
      <xdr:colOff>213360</xdr:colOff>
      <xdr:row>29</xdr:row>
      <xdr:rowOff>76200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58B7976-EF17-4A88-66BC-43D2EC934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274320</xdr:colOff>
      <xdr:row>13</xdr:row>
      <xdr:rowOff>0</xdr:rowOff>
    </xdr:from>
    <xdr:to>
      <xdr:col>24</xdr:col>
      <xdr:colOff>579120</xdr:colOff>
      <xdr:row>28</xdr:row>
      <xdr:rowOff>91440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6EAE0B3-4E34-4874-73A8-EA63D0200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29</xdr:row>
      <xdr:rowOff>91440</xdr:rowOff>
    </xdr:from>
    <xdr:to>
      <xdr:col>7</xdr:col>
      <xdr:colOff>304800</xdr:colOff>
      <xdr:row>45</xdr:row>
      <xdr:rowOff>152400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2B568F0-DF51-87C6-C636-1C886B992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411480</xdr:colOff>
      <xdr:row>29</xdr:row>
      <xdr:rowOff>99060</xdr:rowOff>
    </xdr:from>
    <xdr:to>
      <xdr:col>15</xdr:col>
      <xdr:colOff>106680</xdr:colOff>
      <xdr:row>45</xdr:row>
      <xdr:rowOff>160020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47813DB-390A-F327-42CF-FBBA9A4A07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P36">
  <tableColumns count="16">
    <tableColumn id="1" xr3:uid="{00000000-0010-0000-0000-000001000000}" name="Timestamp"/>
    <tableColumn id="2" xr3:uid="{00000000-0010-0000-0000-000002000000}" name="do you have a clear pland after graduation&gt;"/>
    <tableColumn id="3" xr3:uid="{00000000-0010-0000-0000-000003000000}" name="what path are you most likely to pursue immidietly after graduation?"/>
    <tableColumn id="4" xr3:uid="{00000000-0010-0000-0000-000004000000}" name="how confident are you in your ability to write a prfesional resume?"/>
    <tableColumn id="5" xr3:uid="{00000000-0010-0000-0000-000005000000}" name="how confident are you in your interview skills?"/>
    <tableColumn id="6" xr3:uid="{00000000-0010-0000-0000-000006000000}" name="rate your confidence in the following. ( 1 - not confident, 5- confident) [communication]"/>
    <tableColumn id="7" xr3:uid="{00000000-0010-0000-0000-000007000000}" name="rate your confidence in the following. ( 1 - not confident, 5- confident) [teamwork]"/>
    <tableColumn id="8" xr3:uid="{00000000-0010-0000-0000-000008000000}" name="rate your confidence in the following. ( 1 - not confident, 5- confident) [problem-solving]"/>
    <tableColumn id="9" xr3:uid="{00000000-0010-0000-0000-000009000000}" name="rate your confidence in the following. ( 1 - not confident, 5- confident) [time managment]"/>
    <tableColumn id="10" xr3:uid="{00000000-0010-0000-0000-00000A000000}" name="rate your confidence in the following. ( 1 - not confident, 5- confident) [technology skills]"/>
    <tableColumn id="11" xr3:uid="{00000000-0010-0000-0000-00000B000000}" name="have you participated in any of the following?"/>
    <tableColumn id="12" xr3:uid="{00000000-0010-0000-0000-00000C000000}" name="do you feel you have enough information about potential career paths?"/>
    <tableColumn id="13" xr3:uid="{00000000-0010-0000-0000-00000D000000}" name="what resources would help you feel more prepared for you career?"/>
    <tableColumn id="14" xr3:uid="{00000000-0010-0000-0000-00000E000000}" name="what barriers, if any, do you feel may prevent you from achieving your career goals?"/>
    <tableColumn id="15" xr3:uid="{00000000-0010-0000-0000-00000F000000}" name="how many time have you visited the career center over the last year?"/>
    <tableColumn id="16" xr3:uid="{00000000-0010-0000-0000-000010000000}" name="in your own word wht would you make you feel more prepared for you future after graduation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6"/>
  <sheetViews>
    <sheetView topLeftCell="M1" zoomScale="85" zoomScaleNormal="85" workbookViewId="0">
      <pane ySplit="1" topLeftCell="A15" activePane="bottomLeft" state="frozen"/>
      <selection pane="bottomLeft" activeCell="O40" sqref="O40"/>
    </sheetView>
  </sheetViews>
  <sheetFormatPr defaultColWidth="12.6640625" defaultRowHeight="15.75" customHeight="1" x14ac:dyDescent="0.25"/>
  <cols>
    <col min="1" max="1" width="17.33203125" bestFit="1" customWidth="1"/>
    <col min="2" max="2" width="25" customWidth="1"/>
    <col min="3" max="3" width="21.33203125" customWidth="1"/>
    <col min="4" max="4" width="21" customWidth="1"/>
    <col min="5" max="5" width="38.88671875" bestFit="1" customWidth="1"/>
    <col min="6" max="6" width="15.88671875" customWidth="1"/>
    <col min="7" max="7" width="6" customWidth="1"/>
    <col min="8" max="8" width="4.6640625" customWidth="1"/>
    <col min="9" max="9" width="4.5546875" customWidth="1"/>
    <col min="10" max="10" width="4.33203125" customWidth="1"/>
    <col min="11" max="11" width="65.6640625" bestFit="1" customWidth="1"/>
    <col min="12" max="12" width="59.33203125" bestFit="1" customWidth="1"/>
    <col min="13" max="13" width="139.44140625" bestFit="1" customWidth="1"/>
    <col min="14" max="14" width="71.33203125" bestFit="1" customWidth="1"/>
    <col min="15" max="15" width="57.6640625" bestFit="1" customWidth="1"/>
    <col min="16" max="16" width="79" bestFit="1" customWidth="1"/>
    <col min="17" max="22" width="18.88671875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x14ac:dyDescent="0.25">
      <c r="A2" s="4">
        <v>45910.654140659724</v>
      </c>
      <c r="B2" s="5" t="s">
        <v>16</v>
      </c>
      <c r="C2" s="5" t="s">
        <v>17</v>
      </c>
      <c r="D2" s="5" t="s">
        <v>18</v>
      </c>
      <c r="E2" s="5" t="s">
        <v>19</v>
      </c>
      <c r="F2" s="5">
        <v>5</v>
      </c>
      <c r="G2" s="5">
        <v>5</v>
      </c>
      <c r="H2" s="5">
        <v>5</v>
      </c>
      <c r="I2" s="5">
        <v>3</v>
      </c>
      <c r="J2" s="5">
        <v>4</v>
      </c>
      <c r="K2" s="5" t="s">
        <v>20</v>
      </c>
      <c r="L2" s="5" t="s">
        <v>21</v>
      </c>
      <c r="M2" s="5" t="s">
        <v>22</v>
      </c>
      <c r="N2" s="5" t="s">
        <v>23</v>
      </c>
      <c r="O2" s="5">
        <v>0</v>
      </c>
      <c r="P2" s="6" t="s">
        <v>24</v>
      </c>
    </row>
    <row r="3" spans="1:16" x14ac:dyDescent="0.25">
      <c r="A3" s="7">
        <v>45910.656524062499</v>
      </c>
      <c r="B3" s="8" t="s">
        <v>16</v>
      </c>
      <c r="C3" s="8" t="s">
        <v>17</v>
      </c>
      <c r="D3" s="8" t="s">
        <v>19</v>
      </c>
      <c r="E3" s="8" t="s">
        <v>18</v>
      </c>
      <c r="F3" s="8">
        <v>5</v>
      </c>
      <c r="G3" s="8">
        <v>5</v>
      </c>
      <c r="H3" s="8">
        <v>4</v>
      </c>
      <c r="I3" s="8">
        <v>5</v>
      </c>
      <c r="J3" s="8">
        <v>2</v>
      </c>
      <c r="K3" s="8" t="s">
        <v>25</v>
      </c>
      <c r="L3" s="8" t="s">
        <v>21</v>
      </c>
      <c r="M3" s="8" t="s">
        <v>26</v>
      </c>
      <c r="N3" s="8" t="s">
        <v>23</v>
      </c>
      <c r="O3" s="8">
        <v>0</v>
      </c>
      <c r="P3" s="9" t="s">
        <v>27</v>
      </c>
    </row>
    <row r="4" spans="1:16" x14ac:dyDescent="0.25">
      <c r="A4" s="4">
        <v>45910.657172071762</v>
      </c>
      <c r="B4" s="5" t="s">
        <v>28</v>
      </c>
      <c r="C4" s="5" t="s">
        <v>17</v>
      </c>
      <c r="D4" s="5" t="s">
        <v>18</v>
      </c>
      <c r="E4" s="5" t="s">
        <v>18</v>
      </c>
      <c r="F4" s="5">
        <v>4</v>
      </c>
      <c r="G4" s="5">
        <v>4</v>
      </c>
      <c r="H4" s="5">
        <v>4</v>
      </c>
      <c r="I4" s="5">
        <v>5</v>
      </c>
      <c r="J4" s="5">
        <v>2</v>
      </c>
      <c r="K4" s="5" t="s">
        <v>29</v>
      </c>
      <c r="L4" s="5" t="s">
        <v>30</v>
      </c>
      <c r="M4" s="5" t="s">
        <v>31</v>
      </c>
      <c r="N4" s="5" t="s">
        <v>23</v>
      </c>
      <c r="O4" s="5">
        <v>0</v>
      </c>
      <c r="P4" s="6" t="s">
        <v>32</v>
      </c>
    </row>
    <row r="5" spans="1:16" x14ac:dyDescent="0.25">
      <c r="A5" s="7">
        <v>45910.657750555554</v>
      </c>
      <c r="B5" s="8" t="s">
        <v>16</v>
      </c>
      <c r="C5" s="8" t="s">
        <v>17</v>
      </c>
      <c r="D5" s="8" t="s">
        <v>19</v>
      </c>
      <c r="E5" s="8" t="s">
        <v>19</v>
      </c>
      <c r="F5" s="8">
        <v>5</v>
      </c>
      <c r="G5" s="8">
        <v>4</v>
      </c>
      <c r="H5" s="8">
        <v>4</v>
      </c>
      <c r="I5" s="8">
        <v>4</v>
      </c>
      <c r="J5" s="8">
        <v>3</v>
      </c>
      <c r="K5" s="8" t="s">
        <v>25</v>
      </c>
      <c r="L5" s="8" t="s">
        <v>21</v>
      </c>
      <c r="M5" s="8" t="s">
        <v>33</v>
      </c>
      <c r="N5" s="8" t="s">
        <v>23</v>
      </c>
      <c r="O5" s="8">
        <v>0</v>
      </c>
      <c r="P5" s="9" t="s">
        <v>34</v>
      </c>
    </row>
    <row r="6" spans="1:16" x14ac:dyDescent="0.25">
      <c r="A6" s="4">
        <v>45910.658712557866</v>
      </c>
      <c r="B6" s="5" t="s">
        <v>35</v>
      </c>
      <c r="C6" s="5" t="s">
        <v>17</v>
      </c>
      <c r="D6" s="5" t="s">
        <v>18</v>
      </c>
      <c r="E6" s="5" t="s">
        <v>18</v>
      </c>
      <c r="F6" s="5">
        <v>3</v>
      </c>
      <c r="G6" s="5">
        <v>5</v>
      </c>
      <c r="H6" s="5">
        <v>5</v>
      </c>
      <c r="I6" s="5">
        <v>5</v>
      </c>
      <c r="J6" s="5">
        <v>4</v>
      </c>
      <c r="K6" s="5" t="s">
        <v>36</v>
      </c>
      <c r="L6" s="5" t="s">
        <v>21</v>
      </c>
      <c r="M6" s="5" t="s">
        <v>37</v>
      </c>
      <c r="N6" s="5" t="s">
        <v>23</v>
      </c>
      <c r="O6" s="5">
        <v>1</v>
      </c>
      <c r="P6" s="6" t="s">
        <v>38</v>
      </c>
    </row>
    <row r="7" spans="1:16" x14ac:dyDescent="0.25">
      <c r="A7" s="7">
        <v>45910.65984158565</v>
      </c>
      <c r="B7" s="8" t="s">
        <v>35</v>
      </c>
      <c r="C7" s="8" t="s">
        <v>17</v>
      </c>
      <c r="D7" s="8" t="s">
        <v>19</v>
      </c>
      <c r="E7" s="8" t="s">
        <v>18</v>
      </c>
      <c r="F7" s="8">
        <v>4</v>
      </c>
      <c r="G7" s="8">
        <v>5</v>
      </c>
      <c r="H7" s="8">
        <v>4</v>
      </c>
      <c r="I7" s="8">
        <v>5</v>
      </c>
      <c r="J7" s="8">
        <v>4</v>
      </c>
      <c r="K7" s="8" t="s">
        <v>39</v>
      </c>
      <c r="L7" s="8" t="s">
        <v>40</v>
      </c>
      <c r="M7" s="8" t="s">
        <v>41</v>
      </c>
      <c r="N7" s="8" t="s">
        <v>23</v>
      </c>
      <c r="O7" s="8">
        <v>0</v>
      </c>
      <c r="P7" s="9" t="s">
        <v>42</v>
      </c>
    </row>
    <row r="8" spans="1:16" x14ac:dyDescent="0.25">
      <c r="A8" s="4">
        <v>45910.660935983797</v>
      </c>
      <c r="B8" s="5" t="s">
        <v>35</v>
      </c>
      <c r="C8" s="5" t="s">
        <v>17</v>
      </c>
      <c r="D8" s="5" t="s">
        <v>18</v>
      </c>
      <c r="E8" s="5" t="s">
        <v>18</v>
      </c>
      <c r="F8" s="5">
        <v>3</v>
      </c>
      <c r="G8" s="5">
        <v>4</v>
      </c>
      <c r="H8" s="5">
        <v>4</v>
      </c>
      <c r="I8" s="5">
        <v>4</v>
      </c>
      <c r="J8" s="5">
        <v>2</v>
      </c>
      <c r="K8" s="5" t="s">
        <v>29</v>
      </c>
      <c r="L8" s="5" t="s">
        <v>21</v>
      </c>
      <c r="M8" s="5" t="s">
        <v>43</v>
      </c>
      <c r="N8" s="5" t="s">
        <v>23</v>
      </c>
      <c r="O8" s="5">
        <v>0</v>
      </c>
      <c r="P8" s="6" t="s">
        <v>44</v>
      </c>
    </row>
    <row r="9" spans="1:16" x14ac:dyDescent="0.25">
      <c r="A9" s="7">
        <v>45910.662873460649</v>
      </c>
      <c r="B9" s="8" t="s">
        <v>16</v>
      </c>
      <c r="C9" s="8" t="s">
        <v>17</v>
      </c>
      <c r="D9" s="8" t="s">
        <v>18</v>
      </c>
      <c r="E9" s="8" t="s">
        <v>18</v>
      </c>
      <c r="F9" s="8">
        <v>4</v>
      </c>
      <c r="G9" s="8">
        <v>4</v>
      </c>
      <c r="H9" s="8">
        <v>4</v>
      </c>
      <c r="I9" s="8">
        <v>4</v>
      </c>
      <c r="J9" s="8">
        <v>4</v>
      </c>
      <c r="K9" s="8" t="s">
        <v>45</v>
      </c>
      <c r="L9" s="8" t="s">
        <v>21</v>
      </c>
      <c r="M9" s="8" t="s">
        <v>46</v>
      </c>
      <c r="N9" s="8" t="s">
        <v>47</v>
      </c>
      <c r="O9" s="8">
        <v>1</v>
      </c>
      <c r="P9" s="9" t="s">
        <v>48</v>
      </c>
    </row>
    <row r="10" spans="1:16" x14ac:dyDescent="0.25">
      <c r="A10" s="4">
        <v>45910.663653356482</v>
      </c>
      <c r="B10" s="5" t="s">
        <v>35</v>
      </c>
      <c r="C10" s="5" t="s">
        <v>17</v>
      </c>
      <c r="D10" s="5" t="s">
        <v>19</v>
      </c>
      <c r="E10" s="5" t="s">
        <v>19</v>
      </c>
      <c r="F10" s="5">
        <v>3</v>
      </c>
      <c r="G10" s="5">
        <v>3</v>
      </c>
      <c r="H10" s="5">
        <v>4</v>
      </c>
      <c r="I10" s="5">
        <v>3</v>
      </c>
      <c r="J10" s="5">
        <v>3</v>
      </c>
      <c r="K10" s="5" t="s">
        <v>20</v>
      </c>
      <c r="L10" s="5" t="s">
        <v>21</v>
      </c>
      <c r="M10" s="5" t="s">
        <v>49</v>
      </c>
      <c r="N10" s="5" t="s">
        <v>50</v>
      </c>
      <c r="O10" s="5">
        <v>0</v>
      </c>
      <c r="P10" s="6" t="s">
        <v>48</v>
      </c>
    </row>
    <row r="11" spans="1:16" x14ac:dyDescent="0.25">
      <c r="A11" s="7">
        <v>45910.665061874999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5</v>
      </c>
      <c r="G11" s="8">
        <v>5</v>
      </c>
      <c r="H11" s="8">
        <v>3</v>
      </c>
      <c r="I11" s="8">
        <v>4</v>
      </c>
      <c r="J11" s="8">
        <v>5</v>
      </c>
      <c r="K11" s="8" t="s">
        <v>36</v>
      </c>
      <c r="L11" s="8" t="s">
        <v>21</v>
      </c>
      <c r="M11" s="8" t="s">
        <v>51</v>
      </c>
      <c r="N11" s="8" t="s">
        <v>50</v>
      </c>
      <c r="O11" s="8">
        <v>0</v>
      </c>
      <c r="P11" s="9" t="s">
        <v>52</v>
      </c>
    </row>
    <row r="12" spans="1:16" x14ac:dyDescent="0.25">
      <c r="A12" s="4">
        <v>45910.667558981484</v>
      </c>
      <c r="B12" s="5" t="s">
        <v>53</v>
      </c>
      <c r="C12" s="5" t="s">
        <v>17</v>
      </c>
      <c r="D12" s="5" t="s">
        <v>19</v>
      </c>
      <c r="E12" s="5" t="s">
        <v>18</v>
      </c>
      <c r="F12" s="5">
        <v>5</v>
      </c>
      <c r="G12" s="5">
        <v>4</v>
      </c>
      <c r="H12" s="5">
        <v>5</v>
      </c>
      <c r="I12" s="5">
        <v>4</v>
      </c>
      <c r="J12" s="5">
        <v>5</v>
      </c>
      <c r="K12" s="5" t="s">
        <v>54</v>
      </c>
      <c r="L12" s="5" t="s">
        <v>30</v>
      </c>
      <c r="M12" s="5" t="s">
        <v>55</v>
      </c>
      <c r="N12" s="5" t="s">
        <v>56</v>
      </c>
      <c r="O12" s="5">
        <v>2</v>
      </c>
      <c r="P12" s="6" t="s">
        <v>57</v>
      </c>
    </row>
    <row r="13" spans="1:16" x14ac:dyDescent="0.25">
      <c r="A13" s="7">
        <v>45910.668284884261</v>
      </c>
      <c r="B13" s="8" t="s">
        <v>16</v>
      </c>
      <c r="C13" s="8" t="s">
        <v>17</v>
      </c>
      <c r="D13" s="8" t="s">
        <v>18</v>
      </c>
      <c r="E13" s="8" t="s">
        <v>18</v>
      </c>
      <c r="F13" s="8">
        <v>4</v>
      </c>
      <c r="G13" s="8">
        <v>5</v>
      </c>
      <c r="H13" s="8">
        <v>4</v>
      </c>
      <c r="I13" s="8">
        <v>4</v>
      </c>
      <c r="J13" s="8">
        <v>4</v>
      </c>
      <c r="K13" s="8" t="s">
        <v>54</v>
      </c>
      <c r="L13" s="8" t="s">
        <v>30</v>
      </c>
      <c r="M13" s="8" t="s">
        <v>58</v>
      </c>
      <c r="N13" s="8" t="s">
        <v>59</v>
      </c>
      <c r="O13" s="8">
        <v>0</v>
      </c>
      <c r="P13" s="9" t="s">
        <v>60</v>
      </c>
    </row>
    <row r="14" spans="1:16" x14ac:dyDescent="0.25">
      <c r="A14" s="4">
        <v>45910.66839648148</v>
      </c>
      <c r="B14" s="5" t="s">
        <v>16</v>
      </c>
      <c r="C14" s="5" t="s">
        <v>17</v>
      </c>
      <c r="D14" s="5" t="s">
        <v>18</v>
      </c>
      <c r="E14" s="5" t="s">
        <v>18</v>
      </c>
      <c r="F14" s="5">
        <v>4</v>
      </c>
      <c r="G14" s="5">
        <v>5</v>
      </c>
      <c r="H14" s="5">
        <v>4</v>
      </c>
      <c r="I14" s="5">
        <v>4</v>
      </c>
      <c r="J14" s="5">
        <v>4</v>
      </c>
      <c r="K14" s="5" t="s">
        <v>45</v>
      </c>
      <c r="L14" s="5" t="s">
        <v>21</v>
      </c>
      <c r="M14" s="5" t="s">
        <v>61</v>
      </c>
      <c r="N14" s="5" t="s">
        <v>50</v>
      </c>
      <c r="O14" s="5">
        <v>0</v>
      </c>
      <c r="P14" s="6" t="s">
        <v>62</v>
      </c>
    </row>
    <row r="15" spans="1:16" x14ac:dyDescent="0.25">
      <c r="A15" s="7">
        <v>45910.669035555555</v>
      </c>
      <c r="B15" s="8" t="s">
        <v>16</v>
      </c>
      <c r="C15" s="8" t="s">
        <v>63</v>
      </c>
      <c r="D15" s="8" t="s">
        <v>18</v>
      </c>
      <c r="E15" s="8" t="s">
        <v>19</v>
      </c>
      <c r="F15" s="8">
        <v>4</v>
      </c>
      <c r="G15" s="8">
        <v>5</v>
      </c>
      <c r="H15" s="8">
        <v>4</v>
      </c>
      <c r="I15" s="8">
        <v>4</v>
      </c>
      <c r="J15" s="8">
        <v>4</v>
      </c>
      <c r="K15" s="8" t="s">
        <v>45</v>
      </c>
      <c r="L15" s="8" t="s">
        <v>30</v>
      </c>
      <c r="M15" s="8" t="s">
        <v>64</v>
      </c>
      <c r="N15" s="8" t="s">
        <v>23</v>
      </c>
      <c r="O15" s="8">
        <v>0</v>
      </c>
      <c r="P15" s="9" t="s">
        <v>65</v>
      </c>
    </row>
    <row r="16" spans="1:16" x14ac:dyDescent="0.25">
      <c r="A16" s="4">
        <v>45910.669347581017</v>
      </c>
      <c r="B16" s="5" t="s">
        <v>28</v>
      </c>
      <c r="C16" s="5" t="s">
        <v>17</v>
      </c>
      <c r="D16" s="5" t="s">
        <v>18</v>
      </c>
      <c r="E16" s="5" t="s">
        <v>66</v>
      </c>
      <c r="F16" s="5">
        <v>4</v>
      </c>
      <c r="G16" s="5">
        <v>4</v>
      </c>
      <c r="H16" s="5">
        <v>4</v>
      </c>
      <c r="I16" s="5">
        <v>3</v>
      </c>
      <c r="J16" s="5">
        <v>4</v>
      </c>
      <c r="K16" s="5" t="s">
        <v>45</v>
      </c>
      <c r="L16" s="5" t="s">
        <v>21</v>
      </c>
      <c r="M16" s="5" t="s">
        <v>46</v>
      </c>
      <c r="N16" s="5" t="s">
        <v>23</v>
      </c>
      <c r="O16" s="5">
        <v>0</v>
      </c>
      <c r="P16" s="6" t="s">
        <v>67</v>
      </c>
    </row>
    <row r="17" spans="1:16" x14ac:dyDescent="0.25">
      <c r="A17" s="7">
        <v>45910.669786828701</v>
      </c>
      <c r="B17" s="8" t="s">
        <v>16</v>
      </c>
      <c r="C17" s="8" t="s">
        <v>17</v>
      </c>
      <c r="D17" s="8" t="s">
        <v>18</v>
      </c>
      <c r="E17" s="8" t="s">
        <v>19</v>
      </c>
      <c r="F17" s="8">
        <v>4</v>
      </c>
      <c r="G17" s="8">
        <v>5</v>
      </c>
      <c r="H17" s="8">
        <v>4</v>
      </c>
      <c r="I17" s="8">
        <v>2</v>
      </c>
      <c r="J17" s="8">
        <v>5</v>
      </c>
      <c r="K17" s="8" t="s">
        <v>25</v>
      </c>
      <c r="L17" s="8" t="s">
        <v>30</v>
      </c>
      <c r="M17" s="8" t="s">
        <v>68</v>
      </c>
      <c r="N17" s="8" t="s">
        <v>23</v>
      </c>
      <c r="O17" s="8">
        <v>0</v>
      </c>
      <c r="P17" s="9" t="s">
        <v>69</v>
      </c>
    </row>
    <row r="18" spans="1:16" x14ac:dyDescent="0.25">
      <c r="A18" s="4">
        <v>45910.670613043985</v>
      </c>
      <c r="B18" s="5" t="s">
        <v>53</v>
      </c>
      <c r="C18" s="5" t="s">
        <v>17</v>
      </c>
      <c r="D18" s="5" t="s">
        <v>18</v>
      </c>
      <c r="E18" s="5" t="s">
        <v>18</v>
      </c>
      <c r="F18" s="5">
        <v>5</v>
      </c>
      <c r="G18" s="5">
        <v>5</v>
      </c>
      <c r="H18" s="5">
        <v>5</v>
      </c>
      <c r="I18" s="5">
        <v>3</v>
      </c>
      <c r="J18" s="5">
        <v>4</v>
      </c>
      <c r="K18" s="5" t="s">
        <v>54</v>
      </c>
      <c r="L18" s="5" t="s">
        <v>30</v>
      </c>
      <c r="M18" s="5" t="s">
        <v>70</v>
      </c>
      <c r="N18" s="5" t="s">
        <v>71</v>
      </c>
      <c r="O18" s="5">
        <v>0</v>
      </c>
      <c r="P18" s="6" t="s">
        <v>72</v>
      </c>
    </row>
    <row r="19" spans="1:16" x14ac:dyDescent="0.25">
      <c r="A19" s="7">
        <v>45910.670651342589</v>
      </c>
      <c r="B19" s="8" t="s">
        <v>35</v>
      </c>
      <c r="C19" s="8" t="s">
        <v>17</v>
      </c>
      <c r="D19" s="8" t="s">
        <v>18</v>
      </c>
      <c r="E19" s="8" t="s">
        <v>18</v>
      </c>
      <c r="F19" s="8">
        <v>4</v>
      </c>
      <c r="G19" s="8">
        <v>4</v>
      </c>
      <c r="H19" s="8">
        <v>4</v>
      </c>
      <c r="I19" s="8">
        <v>5</v>
      </c>
      <c r="J19" s="8">
        <v>4</v>
      </c>
      <c r="K19" s="8" t="s">
        <v>29</v>
      </c>
      <c r="L19" s="8" t="s">
        <v>21</v>
      </c>
      <c r="M19" s="8" t="s">
        <v>73</v>
      </c>
      <c r="N19" s="8" t="s">
        <v>71</v>
      </c>
      <c r="O19" s="8">
        <v>0</v>
      </c>
      <c r="P19" s="9" t="s">
        <v>74</v>
      </c>
    </row>
    <row r="20" spans="1:16" x14ac:dyDescent="0.25">
      <c r="A20" s="4">
        <v>45910.671240902782</v>
      </c>
      <c r="B20" s="5" t="s">
        <v>16</v>
      </c>
      <c r="C20" s="5" t="s">
        <v>63</v>
      </c>
      <c r="D20" s="5" t="s">
        <v>19</v>
      </c>
      <c r="E20" s="5" t="s">
        <v>18</v>
      </c>
      <c r="F20" s="5">
        <v>3</v>
      </c>
      <c r="G20" s="5">
        <v>5</v>
      </c>
      <c r="H20" s="5">
        <v>4</v>
      </c>
      <c r="I20" s="5">
        <v>4</v>
      </c>
      <c r="J20" s="5">
        <v>5</v>
      </c>
      <c r="K20" s="5" t="s">
        <v>54</v>
      </c>
      <c r="L20" s="5" t="s">
        <v>30</v>
      </c>
      <c r="M20" s="5" t="s">
        <v>33</v>
      </c>
      <c r="N20" s="5" t="s">
        <v>75</v>
      </c>
      <c r="O20" s="5">
        <v>0</v>
      </c>
      <c r="P20" s="6" t="s">
        <v>48</v>
      </c>
    </row>
    <row r="21" spans="1:16" x14ac:dyDescent="0.25">
      <c r="A21" s="7">
        <v>45910.671392303237</v>
      </c>
      <c r="B21" s="8" t="s">
        <v>16</v>
      </c>
      <c r="C21" s="8" t="s">
        <v>17</v>
      </c>
      <c r="D21" s="8" t="s">
        <v>19</v>
      </c>
      <c r="E21" s="8" t="s">
        <v>18</v>
      </c>
      <c r="F21" s="8">
        <v>3</v>
      </c>
      <c r="G21" s="8">
        <v>4</v>
      </c>
      <c r="H21" s="8">
        <v>4</v>
      </c>
      <c r="I21" s="8">
        <v>4</v>
      </c>
      <c r="J21" s="8">
        <v>4</v>
      </c>
      <c r="K21" s="8" t="s">
        <v>76</v>
      </c>
      <c r="L21" s="8" t="s">
        <v>21</v>
      </c>
      <c r="M21" s="8" t="s">
        <v>77</v>
      </c>
      <c r="N21" s="8" t="s">
        <v>78</v>
      </c>
      <c r="O21" s="8">
        <v>0</v>
      </c>
    </row>
    <row r="22" spans="1:16" x14ac:dyDescent="0.25">
      <c r="A22" s="4">
        <v>45910.671819340278</v>
      </c>
      <c r="B22" s="5" t="s">
        <v>16</v>
      </c>
      <c r="C22" s="5" t="s">
        <v>63</v>
      </c>
      <c r="D22" s="5" t="s">
        <v>18</v>
      </c>
      <c r="E22" s="5" t="s">
        <v>18</v>
      </c>
      <c r="F22" s="5">
        <v>4</v>
      </c>
      <c r="G22" s="5">
        <v>5</v>
      </c>
      <c r="H22" s="5">
        <v>4</v>
      </c>
      <c r="I22" s="5">
        <v>4</v>
      </c>
      <c r="J22" s="5">
        <v>4</v>
      </c>
      <c r="K22" s="5" t="s">
        <v>29</v>
      </c>
      <c r="L22" s="5" t="s">
        <v>40</v>
      </c>
      <c r="M22" s="5" t="s">
        <v>37</v>
      </c>
      <c r="N22" s="5" t="s">
        <v>79</v>
      </c>
      <c r="O22" s="5">
        <v>0</v>
      </c>
      <c r="P22" s="6" t="s">
        <v>80</v>
      </c>
    </row>
    <row r="23" spans="1:16" x14ac:dyDescent="0.25">
      <c r="A23" s="7">
        <v>45910.672370173612</v>
      </c>
      <c r="B23" s="8" t="s">
        <v>16</v>
      </c>
      <c r="C23" s="8" t="s">
        <v>17</v>
      </c>
      <c r="D23" s="8" t="s">
        <v>18</v>
      </c>
      <c r="E23" s="8" t="s">
        <v>18</v>
      </c>
      <c r="F23" s="8">
        <v>4</v>
      </c>
      <c r="G23" s="8">
        <v>4</v>
      </c>
      <c r="H23" s="8">
        <v>4</v>
      </c>
      <c r="I23" s="8">
        <v>3</v>
      </c>
      <c r="J23" s="8">
        <v>5</v>
      </c>
      <c r="K23" s="8" t="s">
        <v>29</v>
      </c>
      <c r="L23" s="8" t="s">
        <v>21</v>
      </c>
      <c r="M23" s="8" t="s">
        <v>61</v>
      </c>
      <c r="N23" s="8" t="s">
        <v>78</v>
      </c>
      <c r="O23" s="8">
        <v>0</v>
      </c>
      <c r="P23" s="9" t="s">
        <v>48</v>
      </c>
    </row>
    <row r="24" spans="1:16" x14ac:dyDescent="0.25">
      <c r="A24" s="4">
        <v>45910.672725833334</v>
      </c>
      <c r="B24" s="5" t="s">
        <v>16</v>
      </c>
      <c r="C24" s="5" t="s">
        <v>17</v>
      </c>
      <c r="D24" s="5" t="s">
        <v>18</v>
      </c>
      <c r="E24" s="5" t="s">
        <v>18</v>
      </c>
      <c r="F24" s="5">
        <v>5</v>
      </c>
      <c r="G24" s="5">
        <v>5</v>
      </c>
      <c r="H24" s="5">
        <v>5</v>
      </c>
      <c r="I24" s="5">
        <v>5</v>
      </c>
      <c r="J24" s="5">
        <v>3</v>
      </c>
      <c r="K24" s="5" t="s">
        <v>76</v>
      </c>
      <c r="L24" s="5" t="s">
        <v>40</v>
      </c>
      <c r="M24" s="5" t="s">
        <v>55</v>
      </c>
      <c r="N24" s="5" t="s">
        <v>71</v>
      </c>
      <c r="O24" s="5">
        <v>1</v>
      </c>
      <c r="P24" s="6" t="s">
        <v>81</v>
      </c>
    </row>
    <row r="25" spans="1:16" x14ac:dyDescent="0.25">
      <c r="A25" s="7">
        <v>45910.67343570602</v>
      </c>
      <c r="B25" s="8" t="s">
        <v>53</v>
      </c>
      <c r="C25" s="8" t="s">
        <v>17</v>
      </c>
      <c r="D25" s="8" t="s">
        <v>18</v>
      </c>
      <c r="E25" s="8" t="s">
        <v>19</v>
      </c>
      <c r="F25" s="8">
        <v>4</v>
      </c>
      <c r="G25" s="8">
        <v>5</v>
      </c>
      <c r="H25" s="8">
        <v>3</v>
      </c>
      <c r="I25" s="8">
        <v>5</v>
      </c>
      <c r="J25" s="8">
        <v>5</v>
      </c>
      <c r="K25" s="8" t="s">
        <v>25</v>
      </c>
      <c r="L25" s="8" t="s">
        <v>30</v>
      </c>
      <c r="M25" s="8" t="s">
        <v>61</v>
      </c>
      <c r="N25" s="8" t="s">
        <v>71</v>
      </c>
      <c r="O25" s="8">
        <v>0</v>
      </c>
      <c r="P25" s="9" t="s">
        <v>82</v>
      </c>
    </row>
    <row r="26" spans="1:16" x14ac:dyDescent="0.25">
      <c r="A26" s="4">
        <v>45910.673513090282</v>
      </c>
      <c r="B26" s="5" t="s">
        <v>16</v>
      </c>
      <c r="C26" s="5" t="s">
        <v>17</v>
      </c>
      <c r="D26" s="5" t="s">
        <v>18</v>
      </c>
      <c r="E26" s="5" t="s">
        <v>19</v>
      </c>
      <c r="F26" s="5">
        <v>5</v>
      </c>
      <c r="G26" s="5">
        <v>5</v>
      </c>
      <c r="H26" s="5">
        <v>4</v>
      </c>
      <c r="I26" s="5">
        <v>4</v>
      </c>
      <c r="J26" s="5">
        <v>3</v>
      </c>
      <c r="K26" s="5" t="s">
        <v>29</v>
      </c>
      <c r="L26" s="5" t="s">
        <v>21</v>
      </c>
      <c r="M26" s="5" t="s">
        <v>83</v>
      </c>
      <c r="N26" s="5" t="s">
        <v>23</v>
      </c>
      <c r="O26" s="5">
        <v>0</v>
      </c>
      <c r="P26" s="6" t="s">
        <v>84</v>
      </c>
    </row>
    <row r="27" spans="1:16" x14ac:dyDescent="0.25">
      <c r="A27" s="7">
        <v>45910.67428363426</v>
      </c>
      <c r="B27" s="8" t="s">
        <v>16</v>
      </c>
      <c r="C27" s="8" t="s">
        <v>17</v>
      </c>
      <c r="D27" s="8" t="s">
        <v>19</v>
      </c>
      <c r="E27" s="8" t="s">
        <v>19</v>
      </c>
      <c r="F27" s="8">
        <v>4</v>
      </c>
      <c r="G27" s="8">
        <v>5</v>
      </c>
      <c r="H27" s="8">
        <v>3</v>
      </c>
      <c r="I27" s="8">
        <v>4</v>
      </c>
      <c r="J27" s="8">
        <v>5</v>
      </c>
      <c r="K27" s="8" t="s">
        <v>54</v>
      </c>
      <c r="L27" s="8" t="s">
        <v>30</v>
      </c>
      <c r="M27" s="8" t="s">
        <v>85</v>
      </c>
      <c r="N27" s="8" t="s">
        <v>56</v>
      </c>
      <c r="O27" s="8">
        <v>0</v>
      </c>
      <c r="P27" s="9" t="s">
        <v>86</v>
      </c>
    </row>
    <row r="28" spans="1:16" x14ac:dyDescent="0.25">
      <c r="A28" s="4">
        <v>45910.674336875003</v>
      </c>
      <c r="B28" s="5" t="s">
        <v>16</v>
      </c>
      <c r="C28" s="5" t="s">
        <v>17</v>
      </c>
      <c r="D28" s="5" t="s">
        <v>19</v>
      </c>
      <c r="E28" s="5" t="s">
        <v>19</v>
      </c>
      <c r="F28" s="5">
        <v>5</v>
      </c>
      <c r="G28" s="5">
        <v>5</v>
      </c>
      <c r="H28" s="5">
        <v>4</v>
      </c>
      <c r="I28" s="5">
        <v>5</v>
      </c>
      <c r="J28" s="5">
        <v>4</v>
      </c>
      <c r="K28" s="5" t="s">
        <v>25</v>
      </c>
      <c r="M28" s="5" t="s">
        <v>51</v>
      </c>
      <c r="N28" s="5" t="s">
        <v>23</v>
      </c>
      <c r="O28" s="5">
        <v>0</v>
      </c>
      <c r="P28" s="6" t="s">
        <v>87</v>
      </c>
    </row>
    <row r="29" spans="1:16" x14ac:dyDescent="0.25">
      <c r="A29" s="7">
        <v>45910.675237824078</v>
      </c>
      <c r="B29" s="8" t="s">
        <v>16</v>
      </c>
      <c r="C29" s="8" t="s">
        <v>17</v>
      </c>
      <c r="D29" s="8" t="s">
        <v>18</v>
      </c>
      <c r="E29" s="8" t="s">
        <v>19</v>
      </c>
      <c r="F29" s="8">
        <v>5</v>
      </c>
      <c r="G29" s="8">
        <v>5</v>
      </c>
      <c r="H29" s="8">
        <v>4</v>
      </c>
      <c r="I29" s="8">
        <v>4</v>
      </c>
      <c r="J29" s="8">
        <v>5</v>
      </c>
      <c r="K29" s="8" t="s">
        <v>54</v>
      </c>
      <c r="M29" s="8" t="s">
        <v>73</v>
      </c>
      <c r="N29" s="8" t="s">
        <v>78</v>
      </c>
      <c r="O29" s="8">
        <v>0</v>
      </c>
      <c r="P29" s="9" t="s">
        <v>88</v>
      </c>
    </row>
    <row r="30" spans="1:16" x14ac:dyDescent="0.25">
      <c r="A30" s="4">
        <v>45910.675558495372</v>
      </c>
      <c r="B30" s="5" t="s">
        <v>16</v>
      </c>
      <c r="C30" s="5" t="s">
        <v>89</v>
      </c>
      <c r="D30" s="5" t="s">
        <v>66</v>
      </c>
      <c r="E30" s="5" t="s">
        <v>66</v>
      </c>
      <c r="F30" s="5">
        <v>1</v>
      </c>
      <c r="G30" s="5">
        <v>4</v>
      </c>
      <c r="H30" s="5">
        <v>4</v>
      </c>
      <c r="I30" s="5">
        <v>4</v>
      </c>
      <c r="J30" s="5">
        <v>3</v>
      </c>
      <c r="K30" s="5" t="s">
        <v>29</v>
      </c>
      <c r="L30" s="5" t="s">
        <v>21</v>
      </c>
      <c r="M30" s="5" t="s">
        <v>90</v>
      </c>
      <c r="N30" s="5" t="s">
        <v>56</v>
      </c>
      <c r="O30" s="5">
        <v>0</v>
      </c>
      <c r="P30" s="6" t="s">
        <v>91</v>
      </c>
    </row>
    <row r="31" spans="1:16" x14ac:dyDescent="0.25">
      <c r="A31" s="7">
        <v>45910.676007638889</v>
      </c>
      <c r="B31" s="8" t="s">
        <v>35</v>
      </c>
      <c r="C31" s="8" t="s">
        <v>63</v>
      </c>
      <c r="D31" s="8" t="s">
        <v>19</v>
      </c>
      <c r="E31" s="8" t="s">
        <v>19</v>
      </c>
      <c r="F31" s="8">
        <v>4</v>
      </c>
      <c r="G31" s="8">
        <v>4</v>
      </c>
      <c r="H31" s="8">
        <v>3</v>
      </c>
      <c r="I31" s="8">
        <v>2</v>
      </c>
      <c r="J31" s="8">
        <v>4</v>
      </c>
      <c r="K31" s="8" t="s">
        <v>29</v>
      </c>
      <c r="L31" s="8" t="s">
        <v>21</v>
      </c>
      <c r="M31" s="8" t="s">
        <v>92</v>
      </c>
      <c r="N31" s="8" t="s">
        <v>93</v>
      </c>
      <c r="O31" s="8">
        <v>0</v>
      </c>
      <c r="P31" s="9" t="s">
        <v>94</v>
      </c>
    </row>
    <row r="32" spans="1:16" x14ac:dyDescent="0.25">
      <c r="A32" s="4">
        <v>45910.676821226851</v>
      </c>
      <c r="B32" s="5" t="s">
        <v>16</v>
      </c>
      <c r="C32" s="5" t="s">
        <v>17</v>
      </c>
      <c r="D32" s="5" t="s">
        <v>19</v>
      </c>
      <c r="E32" s="5" t="s">
        <v>18</v>
      </c>
      <c r="F32" s="5">
        <v>4</v>
      </c>
      <c r="G32" s="5">
        <v>4</v>
      </c>
      <c r="H32" s="5">
        <v>4</v>
      </c>
      <c r="I32" s="5">
        <v>4</v>
      </c>
      <c r="J32" s="5">
        <v>4</v>
      </c>
      <c r="K32" s="5" t="s">
        <v>95</v>
      </c>
      <c r="L32" s="5" t="s">
        <v>30</v>
      </c>
      <c r="M32" s="5" t="s">
        <v>96</v>
      </c>
      <c r="N32" s="5" t="s">
        <v>50</v>
      </c>
      <c r="O32" s="5">
        <v>1</v>
      </c>
      <c r="P32" s="6" t="s">
        <v>97</v>
      </c>
    </row>
    <row r="33" spans="1:16" x14ac:dyDescent="0.25">
      <c r="A33" s="7">
        <v>45910.677073206018</v>
      </c>
      <c r="B33" s="8" t="s">
        <v>28</v>
      </c>
      <c r="C33" s="8" t="s">
        <v>17</v>
      </c>
      <c r="D33" s="8" t="s">
        <v>19</v>
      </c>
      <c r="E33" s="8" t="s">
        <v>19</v>
      </c>
      <c r="F33" s="8">
        <v>4</v>
      </c>
      <c r="G33" s="8">
        <v>4</v>
      </c>
      <c r="H33" s="8">
        <v>2</v>
      </c>
      <c r="I33" s="8">
        <v>5</v>
      </c>
      <c r="J33" s="8">
        <v>4</v>
      </c>
      <c r="K33" s="8" t="s">
        <v>45</v>
      </c>
      <c r="L33" s="8" t="s">
        <v>21</v>
      </c>
      <c r="M33" s="8" t="s">
        <v>26</v>
      </c>
      <c r="N33" s="8" t="s">
        <v>78</v>
      </c>
      <c r="O33" s="8">
        <v>0</v>
      </c>
      <c r="P33" s="9" t="s">
        <v>98</v>
      </c>
    </row>
    <row r="34" spans="1:16" x14ac:dyDescent="0.25">
      <c r="A34" s="4">
        <v>45910.677849791668</v>
      </c>
      <c r="B34" s="5" t="s">
        <v>53</v>
      </c>
      <c r="C34" s="5" t="s">
        <v>17</v>
      </c>
      <c r="D34" s="5" t="s">
        <v>19</v>
      </c>
      <c r="E34" s="5" t="s">
        <v>19</v>
      </c>
      <c r="F34" s="5">
        <v>4</v>
      </c>
      <c r="G34" s="5">
        <v>4</v>
      </c>
      <c r="H34" s="5">
        <v>5</v>
      </c>
      <c r="I34" s="5">
        <v>5</v>
      </c>
      <c r="J34" s="5">
        <v>3</v>
      </c>
      <c r="K34" s="5" t="s">
        <v>54</v>
      </c>
      <c r="L34" s="5" t="s">
        <v>30</v>
      </c>
      <c r="N34" s="5" t="s">
        <v>71</v>
      </c>
      <c r="O34" s="5">
        <v>0</v>
      </c>
      <c r="P34" s="6" t="s">
        <v>99</v>
      </c>
    </row>
    <row r="35" spans="1:16" x14ac:dyDescent="0.25">
      <c r="A35" s="7">
        <v>45910.678159525458</v>
      </c>
      <c r="B35" s="8" t="s">
        <v>16</v>
      </c>
      <c r="C35" s="8" t="s">
        <v>17</v>
      </c>
      <c r="D35" s="8" t="s">
        <v>18</v>
      </c>
      <c r="E35" s="8" t="s">
        <v>66</v>
      </c>
      <c r="F35" s="8">
        <v>3</v>
      </c>
      <c r="G35" s="8">
        <v>4</v>
      </c>
      <c r="H35" s="8">
        <v>3</v>
      </c>
      <c r="I35" s="8">
        <v>3</v>
      </c>
      <c r="J35" s="8">
        <v>4</v>
      </c>
      <c r="K35" s="8" t="s">
        <v>29</v>
      </c>
      <c r="L35" s="8" t="s">
        <v>21</v>
      </c>
      <c r="M35" s="8" t="s">
        <v>100</v>
      </c>
      <c r="N35" s="8" t="s">
        <v>79</v>
      </c>
      <c r="O35" s="8">
        <v>0</v>
      </c>
      <c r="P35" s="9" t="s">
        <v>101</v>
      </c>
    </row>
    <row r="36" spans="1:16" x14ac:dyDescent="0.25">
      <c r="A36" s="10">
        <v>45910.67887614583</v>
      </c>
      <c r="B36" s="11" t="s">
        <v>35</v>
      </c>
      <c r="C36" s="11" t="s">
        <v>17</v>
      </c>
      <c r="D36" s="11" t="s">
        <v>18</v>
      </c>
      <c r="E36" s="11" t="s">
        <v>66</v>
      </c>
      <c r="F36" s="11">
        <v>3</v>
      </c>
      <c r="G36" s="11">
        <v>5</v>
      </c>
      <c r="H36" s="11">
        <v>2</v>
      </c>
      <c r="I36" s="11">
        <v>4</v>
      </c>
      <c r="J36" s="11">
        <v>4</v>
      </c>
      <c r="K36" s="11" t="s">
        <v>29</v>
      </c>
      <c r="L36" s="11" t="s">
        <v>40</v>
      </c>
      <c r="M36" s="11" t="s">
        <v>102</v>
      </c>
      <c r="N36" s="11" t="s">
        <v>50</v>
      </c>
      <c r="O36" s="11">
        <v>0</v>
      </c>
      <c r="P36" s="12" t="s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30"/>
  <sheetViews>
    <sheetView topLeftCell="A6" workbookViewId="0">
      <selection activeCell="C8" sqref="C8"/>
    </sheetView>
  </sheetViews>
  <sheetFormatPr defaultColWidth="12.6640625" defaultRowHeight="15.75" customHeight="1" x14ac:dyDescent="0.25"/>
  <cols>
    <col min="1" max="1" width="18.44140625" bestFit="1" customWidth="1"/>
    <col min="4" max="4" width="27.5546875" bestFit="1" customWidth="1"/>
    <col min="10" max="10" width="15.88671875" bestFit="1" customWidth="1"/>
  </cols>
  <sheetData>
    <row r="1" spans="1:11" ht="19.95" customHeight="1" x14ac:dyDescent="0.25">
      <c r="A1" s="24" t="s">
        <v>103</v>
      </c>
      <c r="B1" s="25"/>
      <c r="C1" s="13"/>
      <c r="D1" s="24" t="s">
        <v>104</v>
      </c>
      <c r="E1" s="34"/>
      <c r="F1" s="34"/>
      <c r="G1" s="34"/>
      <c r="H1" s="34"/>
      <c r="I1" s="25"/>
    </row>
    <row r="2" spans="1:11" ht="15.75" customHeight="1" x14ac:dyDescent="0.25">
      <c r="A2" s="14" t="s">
        <v>105</v>
      </c>
      <c r="B2" s="15">
        <f>COUNTIF('Survey Answers'!B2:B36,"yes, i know exactly")</f>
        <v>4</v>
      </c>
      <c r="D2" s="19"/>
      <c r="E2">
        <v>1</v>
      </c>
      <c r="F2">
        <v>2</v>
      </c>
      <c r="G2">
        <v>3</v>
      </c>
      <c r="H2">
        <v>4</v>
      </c>
      <c r="I2" s="16">
        <v>5</v>
      </c>
    </row>
    <row r="3" spans="1:11" ht="15.75" customHeight="1" x14ac:dyDescent="0.25">
      <c r="A3" s="14" t="s">
        <v>106</v>
      </c>
      <c r="B3" s="16">
        <f>COUNTIF('Survey Answers'!B2:B36,"i have a general idea")</f>
        <v>21</v>
      </c>
      <c r="D3" s="14" t="s">
        <v>107</v>
      </c>
      <c r="E3">
        <f>COUNTIF('Survey Answers'!F2:F36,1)</f>
        <v>1</v>
      </c>
      <c r="F3">
        <f>COUNTIF('Survey Answers'!F2:F36,2)</f>
        <v>0</v>
      </c>
      <c r="G3">
        <f>COUNTIF('Survey Answers'!F2:F36,3)</f>
        <v>7</v>
      </c>
      <c r="H3">
        <f>COUNTIF('Survey Answers'!F2:F36,4)</f>
        <v>17</v>
      </c>
      <c r="I3" s="16">
        <f>COUNTIF('Survey Answers'!F2:F36,5)</f>
        <v>10</v>
      </c>
    </row>
    <row r="4" spans="1:11" ht="15.75" customHeight="1" x14ac:dyDescent="0.25">
      <c r="A4" s="14" t="s">
        <v>108</v>
      </c>
      <c r="B4" s="16">
        <f>COUNTIF('Survey Answers'!B2:B36,"im still exploring my options")</f>
        <v>7</v>
      </c>
      <c r="D4" s="14" t="s">
        <v>109</v>
      </c>
      <c r="E4">
        <f>COUNTIF('Survey Answers'!G2:G36,1)</f>
        <v>0</v>
      </c>
      <c r="F4">
        <f>COUNTIF('Survey Answers'!G2:G36,2)</f>
        <v>0</v>
      </c>
      <c r="G4">
        <f>COUNTIF('Survey Answers'!G2:G36,3)</f>
        <v>1</v>
      </c>
      <c r="H4">
        <f>COUNTIF('Survey Answers'!G2:G36,4)</f>
        <v>15</v>
      </c>
      <c r="I4" s="16">
        <f>COUNTIF('Survey Answers'!G2:G36,5)</f>
        <v>19</v>
      </c>
    </row>
    <row r="5" spans="1:11" ht="15.75" customHeight="1" x14ac:dyDescent="0.25">
      <c r="A5" s="17" t="s">
        <v>110</v>
      </c>
      <c r="B5" s="18">
        <f>COUNTIF('Survey Answers'!B2:B38,"i have no plan")</f>
        <v>3</v>
      </c>
      <c r="D5" s="14" t="s">
        <v>111</v>
      </c>
      <c r="E5">
        <f>COUNTIF('Survey Answers'!H2:H36,1)</f>
        <v>0</v>
      </c>
      <c r="F5">
        <f>COUNTIF('Survey Answers'!H2:H36,2)</f>
        <v>2</v>
      </c>
      <c r="G5">
        <f>COUNTIF('Survey Answers'!H2:H36,3)</f>
        <v>5</v>
      </c>
      <c r="H5">
        <f>COUNTIF('Survey Answers'!H2:H36,4)</f>
        <v>22</v>
      </c>
      <c r="I5" s="16">
        <f>COUNTIF('Survey Answers'!H2:H36,5)</f>
        <v>6</v>
      </c>
    </row>
    <row r="6" spans="1:11" ht="15.75" customHeight="1" x14ac:dyDescent="0.25">
      <c r="D6" s="14" t="s">
        <v>112</v>
      </c>
      <c r="E6">
        <f>COUNTIF('Survey Answers'!I2:I36,1)</f>
        <v>0</v>
      </c>
      <c r="F6">
        <f>COUNTIF('Survey Answers'!I2:I36,2)</f>
        <v>2</v>
      </c>
      <c r="G6">
        <f>COUNTIF('Survey Answers'!I2:I36,3)</f>
        <v>6</v>
      </c>
      <c r="H6">
        <f>COUNTIF('Survey Answers'!I2:I36,4)</f>
        <v>17</v>
      </c>
      <c r="I6" s="16">
        <f>COUNTIF('Survey Answers'!I2:I36,5)</f>
        <v>10</v>
      </c>
    </row>
    <row r="7" spans="1:11" ht="15.75" customHeight="1" x14ac:dyDescent="0.25">
      <c r="A7" s="24" t="s">
        <v>113</v>
      </c>
      <c r="B7" s="25"/>
      <c r="D7" s="17" t="s">
        <v>114</v>
      </c>
      <c r="E7" s="22">
        <f>COUNTIF('Survey Answers'!J2:J36,1)</f>
        <v>0</v>
      </c>
      <c r="F7" s="22">
        <f>COUNTIF('Survey Answers'!J2:J36,2)</f>
        <v>3</v>
      </c>
      <c r="G7" s="22">
        <f>COUNTIF('Survey Answers'!J2:J36,3)</f>
        <v>6</v>
      </c>
      <c r="H7" s="22">
        <f>COUNTIF('Survey Answers'!J2:J36,4)</f>
        <v>18</v>
      </c>
      <c r="I7" s="18">
        <f>COUNTIF('Survey Answers'!J2:J36,5)</f>
        <v>8</v>
      </c>
    </row>
    <row r="8" spans="1:11" ht="15.75" customHeight="1" x14ac:dyDescent="0.25">
      <c r="A8" s="14" t="s">
        <v>115</v>
      </c>
      <c r="B8" s="16">
        <f>COUNTIF('Survey Answers'!C2:C36,"full-time employment")</f>
        <v>30</v>
      </c>
    </row>
    <row r="9" spans="1:11" ht="15.75" customHeight="1" x14ac:dyDescent="0.25">
      <c r="A9" s="14" t="s">
        <v>116</v>
      </c>
      <c r="B9" s="16">
        <f>COUNTIF('Survey Answers'!C3:C37,"colllege/university")</f>
        <v>4</v>
      </c>
    </row>
    <row r="10" spans="1:11" ht="15.75" customHeight="1" x14ac:dyDescent="0.25">
      <c r="A10" s="17" t="s">
        <v>117</v>
      </c>
      <c r="B10" s="18">
        <f>COUNTIF('Survey Answers'!C6:C40,"gap year/travel")</f>
        <v>1</v>
      </c>
      <c r="D10" s="24" t="s">
        <v>118</v>
      </c>
      <c r="E10" s="34"/>
      <c r="F10" s="25"/>
      <c r="H10" s="26" t="s">
        <v>119</v>
      </c>
      <c r="I10" s="33"/>
      <c r="J10" s="33"/>
      <c r="K10" s="27"/>
    </row>
    <row r="11" spans="1:11" ht="15.75" customHeight="1" x14ac:dyDescent="0.25">
      <c r="D11" s="14" t="s">
        <v>120</v>
      </c>
      <c r="E11">
        <f>COUNTIF('Survey Answers'!K2:K36,"*job shadowing*")</f>
        <v>14</v>
      </c>
      <c r="F11" s="21">
        <f>E11/35</f>
        <v>0.4</v>
      </c>
      <c r="H11" s="29" t="s">
        <v>121</v>
      </c>
      <c r="I11" s="30"/>
      <c r="J11">
        <f>COUNTIF('Survey Answers'!N2:N36,"*lack of experience*")</f>
        <v>25</v>
      </c>
      <c r="K11" s="21">
        <f>J11/35</f>
        <v>0.7142857142857143</v>
      </c>
    </row>
    <row r="12" spans="1:11" ht="15.75" customHeight="1" x14ac:dyDescent="0.25">
      <c r="A12" s="24" t="s">
        <v>122</v>
      </c>
      <c r="B12" s="25"/>
      <c r="D12" s="14" t="s">
        <v>123</v>
      </c>
      <c r="E12">
        <f>COUNTIF('Survey Answers'!K2:K36,"*internship or work-based learning*")</f>
        <v>25</v>
      </c>
      <c r="F12" s="21">
        <f t="shared" ref="F12:F15" si="0">E12/35</f>
        <v>0.7142857142857143</v>
      </c>
      <c r="H12" s="29" t="s">
        <v>124</v>
      </c>
      <c r="I12" s="30"/>
      <c r="J12">
        <f>COUNTIF('Survey Answers'!N2:N36,"*lack of confidence*")</f>
        <v>4</v>
      </c>
      <c r="K12" s="21">
        <f t="shared" ref="K12:K15" si="1">J12/35</f>
        <v>0.11428571428571428</v>
      </c>
    </row>
    <row r="13" spans="1:11" ht="15.75" customHeight="1" x14ac:dyDescent="0.25">
      <c r="A13" s="14" t="s">
        <v>125</v>
      </c>
      <c r="B13" s="16">
        <f>COUNTIF('Survey Answers'!D2:D36,"very confident")</f>
        <v>13</v>
      </c>
      <c r="D13" s="14" t="s">
        <v>126</v>
      </c>
      <c r="E13">
        <f>COUNTIF('Survey Answers'!K2:K36,"*career counsiling*")</f>
        <v>2</v>
      </c>
      <c r="F13" s="21">
        <f t="shared" si="0"/>
        <v>5.7142857142857141E-2</v>
      </c>
      <c r="H13" s="29" t="s">
        <v>127</v>
      </c>
      <c r="I13" s="30"/>
      <c r="J13">
        <f>COUNTIF('Survey Answers'!N2:N36,"*limited resource/support*")</f>
        <v>10</v>
      </c>
      <c r="K13" s="21">
        <f t="shared" si="1"/>
        <v>0.2857142857142857</v>
      </c>
    </row>
    <row r="14" spans="1:11" ht="15.75" customHeight="1" x14ac:dyDescent="0.25">
      <c r="A14" s="14" t="s">
        <v>128</v>
      </c>
      <c r="B14" s="16">
        <f>COUNTIF('Survey Answers'!D2:D36,"somewhat confident")</f>
        <v>21</v>
      </c>
      <c r="D14" s="14" t="s">
        <v>129</v>
      </c>
      <c r="E14">
        <f>COUNTIF('Survey Answers'!K2:K36,"*career fair or networking*")</f>
        <v>14</v>
      </c>
      <c r="F14" s="21">
        <f t="shared" si="0"/>
        <v>0.4</v>
      </c>
      <c r="H14" s="29" t="s">
        <v>130</v>
      </c>
      <c r="I14" s="30"/>
      <c r="J14">
        <f>COUNTIF('Survey Answers'!N2:N36,"*financial challenges*")</f>
        <v>10</v>
      </c>
      <c r="K14" s="21">
        <f t="shared" si="1"/>
        <v>0.2857142857142857</v>
      </c>
    </row>
    <row r="15" spans="1:11" ht="15.75" customHeight="1" x14ac:dyDescent="0.25">
      <c r="A15" s="17" t="s">
        <v>131</v>
      </c>
      <c r="B15" s="18">
        <f>COUNTIF('Survey Answers'!D2:D36,"not confident")</f>
        <v>1</v>
      </c>
      <c r="D15" s="17" t="s">
        <v>132</v>
      </c>
      <c r="E15" s="22">
        <f>COUNTIF('Survey Answers'!K2:K36,"*none of the above*")</f>
        <v>5</v>
      </c>
      <c r="F15" s="23">
        <f t="shared" si="0"/>
        <v>0.14285714285714285</v>
      </c>
      <c r="H15" s="31" t="s">
        <v>133</v>
      </c>
      <c r="I15" s="32"/>
      <c r="J15" s="22">
        <f>COUNTIF('Survey Answers'!N2:N36,"*none*")</f>
        <v>1</v>
      </c>
      <c r="K15" s="23">
        <f t="shared" si="1"/>
        <v>2.8571428571428571E-2</v>
      </c>
    </row>
    <row r="17" spans="1:10" ht="15.75" customHeight="1" x14ac:dyDescent="0.25">
      <c r="A17" s="24" t="s">
        <v>134</v>
      </c>
      <c r="B17" s="25"/>
    </row>
    <row r="18" spans="1:10" ht="15.75" customHeight="1" x14ac:dyDescent="0.25">
      <c r="A18" s="14" t="s">
        <v>125</v>
      </c>
      <c r="B18" s="16">
        <f>COUNTIF('Survey Answers'!E2:E36,"very confident")</f>
        <v>14</v>
      </c>
      <c r="D18" s="26" t="s">
        <v>135</v>
      </c>
      <c r="E18" s="33"/>
      <c r="F18" s="27"/>
    </row>
    <row r="19" spans="1:10" ht="15.75" customHeight="1" x14ac:dyDescent="0.25">
      <c r="A19" s="14" t="s">
        <v>128</v>
      </c>
      <c r="B19" s="16">
        <f>COUNTIF('Survey Answers'!E2:E36,"somewhat confident")</f>
        <v>17</v>
      </c>
      <c r="D19" s="19" t="s">
        <v>136</v>
      </c>
      <c r="E19">
        <f>COUNTIF('Survey Answers'!M2:M36,"*resume/cover letter workshops*")</f>
        <v>18</v>
      </c>
      <c r="F19" s="21">
        <f>E19/35</f>
        <v>0.51428571428571423</v>
      </c>
      <c r="H19" s="28" t="s">
        <v>137</v>
      </c>
      <c r="I19" s="28"/>
      <c r="J19" s="28"/>
    </row>
    <row r="20" spans="1:10" ht="15.75" customHeight="1" x14ac:dyDescent="0.25">
      <c r="A20" s="17" t="s">
        <v>131</v>
      </c>
      <c r="B20" s="18">
        <f>COUNTIF('Survey Answers'!E2:E36,"not confident")</f>
        <v>4</v>
      </c>
      <c r="D20" s="19" t="s">
        <v>138</v>
      </c>
      <c r="E20">
        <f>COUNTIF('Survey Answers'!M2:M36,"*interview practice*")</f>
        <v>19</v>
      </c>
      <c r="F20" s="21">
        <f t="shared" ref="F20:F24" si="2">E20/35</f>
        <v>0.54285714285714282</v>
      </c>
      <c r="H20" s="28"/>
      <c r="I20" s="28"/>
      <c r="J20" s="28"/>
    </row>
    <row r="21" spans="1:10" ht="15.75" customHeight="1" x14ac:dyDescent="0.25">
      <c r="D21" s="19" t="s">
        <v>139</v>
      </c>
      <c r="E21">
        <f>COUNTIF('Survey Answers'!M2:M36,"*career counsiling/advising*")</f>
        <v>14</v>
      </c>
      <c r="F21" s="21">
        <f t="shared" si="2"/>
        <v>0.4</v>
      </c>
      <c r="H21" s="28"/>
      <c r="I21" s="28"/>
      <c r="J21" s="28"/>
    </row>
    <row r="22" spans="1:10" ht="15.75" customHeight="1" x14ac:dyDescent="0.25">
      <c r="A22" s="24" t="s">
        <v>140</v>
      </c>
      <c r="B22" s="25"/>
      <c r="D22" s="19" t="s">
        <v>141</v>
      </c>
      <c r="E22">
        <f>COUNTIF('Survey Answers'!M2:M36,"*job search stategies*")</f>
        <v>21</v>
      </c>
      <c r="F22" s="21">
        <f t="shared" si="2"/>
        <v>0.6</v>
      </c>
      <c r="H22" s="28"/>
      <c r="I22" s="28"/>
      <c r="J22" s="28"/>
    </row>
    <row r="23" spans="1:10" ht="15.75" customHeight="1" x14ac:dyDescent="0.25">
      <c r="A23" s="14" t="s">
        <v>142</v>
      </c>
      <c r="B23" s="16">
        <f>COUNTIF('Survey Answers'!L2:L36,"yes")</f>
        <v>11</v>
      </c>
      <c r="D23" s="19" t="s">
        <v>143</v>
      </c>
      <c r="E23">
        <f>COUNTIF('Survey Answers'!M2:M36,"*financial literacy (budgeting, credit, loans)*")</f>
        <v>20</v>
      </c>
      <c r="F23" s="21">
        <f t="shared" si="2"/>
        <v>0.5714285714285714</v>
      </c>
      <c r="H23" s="28"/>
      <c r="I23" s="28"/>
      <c r="J23" s="28"/>
    </row>
    <row r="24" spans="1:10" ht="15.75" customHeight="1" x14ac:dyDescent="0.25">
      <c r="A24" s="14" t="s">
        <v>128</v>
      </c>
      <c r="B24" s="16">
        <f>COUNTIF('Survey Answers'!L2:L36,"somewhat")</f>
        <v>18</v>
      </c>
      <c r="D24" s="20" t="s">
        <v>144</v>
      </c>
      <c r="E24" s="22">
        <f>COUNTIF('Survey Answers'!M2:M36,"*networking opportunities*")</f>
        <v>28</v>
      </c>
      <c r="F24" s="23">
        <f t="shared" si="2"/>
        <v>0.8</v>
      </c>
    </row>
    <row r="25" spans="1:10" ht="15.75" customHeight="1" x14ac:dyDescent="0.25">
      <c r="A25" s="17" t="s">
        <v>145</v>
      </c>
      <c r="B25" s="18">
        <f>COUNTIF('Survey Answers'!L2:L36,"no")</f>
        <v>4</v>
      </c>
    </row>
    <row r="27" spans="1:10" ht="15.75" customHeight="1" x14ac:dyDescent="0.25">
      <c r="A27" s="26" t="s">
        <v>146</v>
      </c>
      <c r="B27" s="27"/>
    </row>
    <row r="28" spans="1:10" ht="15.75" customHeight="1" x14ac:dyDescent="0.25">
      <c r="A28" s="19" t="s">
        <v>147</v>
      </c>
      <c r="B28" s="16">
        <f>COUNTIF('Survey Answers'!O2:O36,0)</f>
        <v>30</v>
      </c>
    </row>
    <row r="29" spans="1:10" ht="15.75" customHeight="1" x14ac:dyDescent="0.25">
      <c r="A29" s="19" t="s">
        <v>148</v>
      </c>
      <c r="B29" s="16">
        <f>COUNTIF('Survey Answers'!O2:O36,1)</f>
        <v>4</v>
      </c>
    </row>
    <row r="30" spans="1:10" ht="15.75" customHeight="1" x14ac:dyDescent="0.25">
      <c r="A30" s="20" t="s">
        <v>149</v>
      </c>
      <c r="B30" s="18">
        <f>COUNTIF('Survey Answers'!O2:O36,2)</f>
        <v>1</v>
      </c>
    </row>
  </sheetData>
  <mergeCells count="16">
    <mergeCell ref="A1:B1"/>
    <mergeCell ref="A7:B7"/>
    <mergeCell ref="A12:B12"/>
    <mergeCell ref="D1:I1"/>
    <mergeCell ref="D10:F10"/>
    <mergeCell ref="H10:K10"/>
    <mergeCell ref="A17:B17"/>
    <mergeCell ref="A22:B22"/>
    <mergeCell ref="A27:B27"/>
    <mergeCell ref="H19:J23"/>
    <mergeCell ref="H11:I11"/>
    <mergeCell ref="H12:I12"/>
    <mergeCell ref="H13:I13"/>
    <mergeCell ref="H14:I14"/>
    <mergeCell ref="H15:I15"/>
    <mergeCell ref="D18:F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5B82A-409E-456B-B470-EAB186F2C50D}">
  <dimension ref="A1"/>
  <sheetViews>
    <sheetView tabSelected="1" topLeftCell="A12" zoomScale="83" workbookViewId="0">
      <selection activeCell="T31" sqref="T31"/>
    </sheetView>
  </sheetViews>
  <sheetFormatPr defaultRowHeight="13.2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FCBBFE3BF58E43BE042365CD8E2C75" ma:contentTypeVersion="13" ma:contentTypeDescription="Create a new document." ma:contentTypeScope="" ma:versionID="644a1a6c8816753cd78d35899c171a1c">
  <xsd:schema xmlns:xsd="http://www.w3.org/2001/XMLSchema" xmlns:xs="http://www.w3.org/2001/XMLSchema" xmlns:p="http://schemas.microsoft.com/office/2006/metadata/properties" xmlns:ns3="ab4b9284-d32e-4545-b9c3-80ddcaa65cd0" xmlns:ns4="c087fab4-f532-4e78-8c4a-094f656fa37e" targetNamespace="http://schemas.microsoft.com/office/2006/metadata/properties" ma:root="true" ma:fieldsID="7e30eea4430e739aa7e0e4f81527ca06" ns3:_="" ns4:_="">
    <xsd:import namespace="ab4b9284-d32e-4545-b9c3-80ddcaa65cd0"/>
    <xsd:import namespace="c087fab4-f532-4e78-8c4a-094f656fa37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4b9284-d32e-4545-b9c3-80ddcaa65c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87fab4-f532-4e78-8c4a-094f656fa37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b4b9284-d32e-4545-b9c3-80ddcaa65cd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F079E9-E964-48B6-8D9E-86A2D915CC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4b9284-d32e-4545-b9c3-80ddcaa65cd0"/>
    <ds:schemaRef ds:uri="c087fab4-f532-4e78-8c4a-094f656fa3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40F028-A466-43A7-AED1-E26B40143333}">
  <ds:schemaRefs>
    <ds:schemaRef ds:uri="http://schemas.microsoft.com/office/2006/metadata/properties"/>
    <ds:schemaRef ds:uri="http://schemas.microsoft.com/office/infopath/2007/PartnerControls"/>
    <ds:schemaRef ds:uri="ab4b9284-d32e-4545-b9c3-80ddcaa65cd0"/>
  </ds:schemaRefs>
</ds:datastoreItem>
</file>

<file path=customXml/itemProps3.xml><?xml version="1.0" encoding="utf-8"?>
<ds:datastoreItem xmlns:ds="http://schemas.openxmlformats.org/officeDocument/2006/customXml" ds:itemID="{FBFD8BB3-A468-4B50-889B-865F72ACB7C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3e5bd77-f0ad-402b-a03d-d2462b144a01}" enabled="0" method="" siteId="{33e5bd77-f0ad-402b-a03d-d2462b144a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 Answers</vt:lpstr>
      <vt:lpstr>Organized Data</vt:lpstr>
      <vt:lpstr>Data Graphs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cheyenne conner</dc:creator>
  <cp:keywords/>
  <dc:description/>
  <cp:lastModifiedBy>cheyenne conner</cp:lastModifiedBy>
  <cp:revision/>
  <dcterms:created xsi:type="dcterms:W3CDTF">2025-09-14T00:09:12Z</dcterms:created>
  <dcterms:modified xsi:type="dcterms:W3CDTF">2025-10-28T18:59:47Z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0x0101009CFCBBFE3BF58E43BE042365CD8E2C75</vt:lpwstr>
  </property>
</Properties>
</file>